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4.xml" ContentType="application/vnd.openxmlformats-officedocument.drawing+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Korisnik\OneDrive\Desktop\projekat excel\"/>
    </mc:Choice>
  </mc:AlternateContent>
  <xr:revisionPtr revIDLastSave="0" documentId="13_ncr:1_{BF675F50-C2B2-4538-8447-88FB30173F0B}" xr6:coauthVersionLast="47" xr6:coauthVersionMax="47" xr10:uidLastSave="{00000000-0000-0000-0000-000000000000}"/>
  <bookViews>
    <workbookView xWindow="-108" yWindow="-108" windowWidth="23256" windowHeight="12456" tabRatio="900" xr2:uid="{229A1448-EE29-4E03-ADCF-B54C496BA85E}"/>
  </bookViews>
  <sheets>
    <sheet name="Info" sheetId="1" r:id="rId1"/>
    <sheet name="Uvod" sheetId="10" r:id="rId2"/>
    <sheet name="Zad.1" sheetId="2" r:id="rId3"/>
    <sheet name="Zad.2" sheetId="4" r:id="rId4"/>
    <sheet name="Zad.3" sheetId="13" r:id="rId5"/>
    <sheet name="Zad.4" sheetId="15" r:id="rId6"/>
    <sheet name="Zad.5" sheetId="11" r:id="rId7"/>
    <sheet name="Zad.6" sheetId="14" r:id="rId8"/>
    <sheet name="Dashboard_vodič" sheetId="7" r:id="rId9"/>
    <sheet name="Baza_podataka" sheetId="16" r:id="rId10"/>
    <sheet name="Izveštaj" sheetId="8" r:id="rId11"/>
    <sheet name="DASHBOARD" sheetId="20" r:id="rId12"/>
    <sheet name="Operativna_analiza" sheetId="21" r:id="rId13"/>
  </sheets>
  <definedNames>
    <definedName name="_xlnm._FilterDatabase" localSheetId="2" hidden="1">Zad.1!$C$10:$I$50</definedName>
    <definedName name="_xlnm._FilterDatabase" localSheetId="3" hidden="1">Zad.2!#REF!</definedName>
    <definedName name="_xlnm._FilterDatabase" localSheetId="6" hidden="1">Zad.5!$B$11:$G$11</definedName>
    <definedName name="NativeTimeline_Datum">#N/A</definedName>
    <definedName name="Slicer_Klijent">#N/A</definedName>
    <definedName name="Slicer_Platforma">#N/A</definedName>
    <definedName name="Slicer_Tim_optimizovao">#N/A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 i="16" l="1"/>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9" i="16"/>
  <c r="E10" i="14"/>
  <c r="E11" i="14"/>
  <c r="E12" i="14"/>
  <c r="E13" i="14"/>
  <c r="E14" i="14"/>
  <c r="E15" i="14"/>
  <c r="E16" i="14"/>
  <c r="E17" i="14"/>
  <c r="E18" i="14"/>
  <c r="E19" i="14"/>
  <c r="E20" i="14"/>
  <c r="E21" i="14"/>
  <c r="E22" i="14"/>
  <c r="E23" i="14"/>
  <c r="E24" i="14"/>
  <c r="E25" i="14"/>
  <c r="E26" i="14"/>
  <c r="E27" i="14"/>
  <c r="E28" i="14"/>
  <c r="E9" i="14"/>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12" i="11"/>
  <c r="K12" i="15"/>
  <c r="K13" i="15"/>
  <c r="K14" i="15"/>
  <c r="K15" i="15"/>
  <c r="K16" i="15"/>
  <c r="K22" i="15"/>
  <c r="K23" i="15"/>
  <c r="K24" i="15"/>
  <c r="K25" i="15"/>
  <c r="K26" i="15"/>
  <c r="K27" i="15"/>
  <c r="K28" i="15"/>
  <c r="K34" i="15"/>
  <c r="K35" i="15"/>
  <c r="K36" i="15"/>
  <c r="K37" i="15"/>
  <c r="K38" i="15"/>
  <c r="K39" i="15"/>
  <c r="K40" i="15"/>
  <c r="K46" i="15"/>
  <c r="K47" i="15"/>
  <c r="K48" i="15"/>
  <c r="K49" i="15"/>
  <c r="K50" i="15"/>
  <c r="K51" i="15"/>
  <c r="K52" i="15"/>
  <c r="J48"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11" i="15"/>
  <c r="H12" i="15"/>
  <c r="J12" i="15" s="1"/>
  <c r="H13" i="15"/>
  <c r="J13" i="15" s="1"/>
  <c r="H14" i="15"/>
  <c r="J14" i="15" s="1"/>
  <c r="H15" i="15"/>
  <c r="J15" i="15" s="1"/>
  <c r="H16" i="15"/>
  <c r="J16" i="15" s="1"/>
  <c r="H17" i="15"/>
  <c r="J17" i="15" s="1"/>
  <c r="H18" i="15"/>
  <c r="J18" i="15" s="1"/>
  <c r="H19" i="15"/>
  <c r="J19" i="15" s="1"/>
  <c r="H20" i="15"/>
  <c r="J20" i="15" s="1"/>
  <c r="H21" i="15"/>
  <c r="J21" i="15" s="1"/>
  <c r="H22" i="15"/>
  <c r="J22" i="15" s="1"/>
  <c r="H23" i="15"/>
  <c r="J23" i="15" s="1"/>
  <c r="H24" i="15"/>
  <c r="J24" i="15" s="1"/>
  <c r="H25" i="15"/>
  <c r="J25" i="15" s="1"/>
  <c r="H26" i="15"/>
  <c r="J26" i="15" s="1"/>
  <c r="H27" i="15"/>
  <c r="J27" i="15" s="1"/>
  <c r="H28" i="15"/>
  <c r="J28" i="15" s="1"/>
  <c r="H29" i="15"/>
  <c r="J29" i="15" s="1"/>
  <c r="H30" i="15"/>
  <c r="J30" i="15" s="1"/>
  <c r="H31" i="15"/>
  <c r="J31" i="15" s="1"/>
  <c r="H32" i="15"/>
  <c r="J32" i="15" s="1"/>
  <c r="H33" i="15"/>
  <c r="J33" i="15" s="1"/>
  <c r="H34" i="15"/>
  <c r="J34" i="15" s="1"/>
  <c r="H35" i="15"/>
  <c r="J35" i="15" s="1"/>
  <c r="H36" i="15"/>
  <c r="J36" i="15" s="1"/>
  <c r="H37" i="15"/>
  <c r="J37" i="15" s="1"/>
  <c r="H38" i="15"/>
  <c r="J38" i="15" s="1"/>
  <c r="H39" i="15"/>
  <c r="J39" i="15" s="1"/>
  <c r="H40" i="15"/>
  <c r="J40" i="15" s="1"/>
  <c r="H41" i="15"/>
  <c r="J41" i="15" s="1"/>
  <c r="H42" i="15"/>
  <c r="J42" i="15" s="1"/>
  <c r="H43" i="15"/>
  <c r="J43" i="15" s="1"/>
  <c r="H44" i="15"/>
  <c r="J44" i="15" s="1"/>
  <c r="H45" i="15"/>
  <c r="J45" i="15" s="1"/>
  <c r="H46" i="15"/>
  <c r="J46" i="15" s="1"/>
  <c r="H47" i="15"/>
  <c r="J47" i="15" s="1"/>
  <c r="H48" i="15"/>
  <c r="H49" i="15"/>
  <c r="J49" i="15" s="1"/>
  <c r="H50" i="15"/>
  <c r="J50" i="15" s="1"/>
  <c r="H51" i="15"/>
  <c r="J51" i="15" s="1"/>
  <c r="H52" i="15"/>
  <c r="J52" i="15" s="1"/>
  <c r="H53" i="15"/>
  <c r="J53" i="15" s="1"/>
  <c r="H54" i="15"/>
  <c r="J54" i="15" s="1"/>
  <c r="H55" i="15"/>
  <c r="J55" i="15" s="1"/>
  <c r="H11" i="15"/>
  <c r="J11" i="15" s="1"/>
  <c r="D10" i="13"/>
  <c r="D11" i="13"/>
  <c r="D12" i="13"/>
  <c r="D13" i="13"/>
  <c r="D14" i="13"/>
  <c r="D15" i="13"/>
  <c r="D16" i="13"/>
  <c r="D17" i="13"/>
  <c r="D18" i="13"/>
  <c r="D19" i="13"/>
  <c r="D20" i="13"/>
  <c r="D21" i="13"/>
  <c r="D22" i="13"/>
  <c r="D23" i="13"/>
  <c r="D9" i="13"/>
  <c r="H22" i="13"/>
  <c r="H21" i="13"/>
  <c r="H20" i="13"/>
  <c r="H19" i="13"/>
  <c r="H18" i="13"/>
  <c r="H17" i="13"/>
  <c r="H16" i="13"/>
  <c r="H15" i="13"/>
  <c r="H14" i="13"/>
  <c r="H13" i="13"/>
  <c r="H12" i="13"/>
  <c r="H11" i="13"/>
  <c r="H10" i="13"/>
  <c r="H9" i="13"/>
  <c r="H12" i="4"/>
  <c r="H13" i="4"/>
  <c r="H14" i="4"/>
  <c r="H15" i="4"/>
  <c r="H16" i="4"/>
  <c r="H17" i="4"/>
  <c r="H18" i="4"/>
  <c r="H19" i="4"/>
  <c r="H20" i="4"/>
  <c r="H21" i="4"/>
  <c r="H22" i="4"/>
  <c r="H23" i="4"/>
  <c r="H24" i="4"/>
  <c r="H25" i="4"/>
  <c r="H11" i="4"/>
  <c r="G12" i="4"/>
  <c r="G13" i="4"/>
  <c r="G14" i="4"/>
  <c r="G15" i="4"/>
  <c r="G16" i="4"/>
  <c r="G17" i="4"/>
  <c r="G18" i="4"/>
  <c r="G19" i="4"/>
  <c r="G20" i="4"/>
  <c r="G21" i="4"/>
  <c r="G22" i="4"/>
  <c r="G23" i="4"/>
  <c r="G24" i="4"/>
  <c r="G25" i="4"/>
  <c r="G11" i="4"/>
  <c r="F12" i="4"/>
  <c r="F13" i="4"/>
  <c r="F14" i="4"/>
  <c r="F15" i="4"/>
  <c r="F16" i="4"/>
  <c r="F17" i="4"/>
  <c r="F18" i="4"/>
  <c r="F19" i="4"/>
  <c r="F20" i="4"/>
  <c r="F21" i="4"/>
  <c r="F22" i="4"/>
  <c r="F23" i="4"/>
  <c r="F24" i="4"/>
  <c r="F25" i="4"/>
  <c r="F11" i="4"/>
  <c r="L28" i="2"/>
  <c r="L17" i="2"/>
  <c r="L16" i="2"/>
  <c r="L15" i="2"/>
  <c r="L13" i="2"/>
  <c r="L12" i="2"/>
  <c r="L11" i="2"/>
  <c r="J32" i="10"/>
  <c r="K32" i="10"/>
  <c r="L32" i="10"/>
  <c r="K45" i="15" l="1"/>
  <c r="K33" i="15"/>
  <c r="K21" i="15"/>
  <c r="K11" i="15"/>
  <c r="K44" i="15"/>
  <c r="K32" i="15"/>
  <c r="K20" i="15"/>
  <c r="K55" i="15"/>
  <c r="K43" i="15"/>
  <c r="K31" i="15"/>
  <c r="K19" i="15"/>
  <c r="K54" i="15"/>
  <c r="K42" i="15"/>
  <c r="K30" i="15"/>
  <c r="K18" i="15"/>
  <c r="K53" i="15"/>
  <c r="K41" i="15"/>
  <c r="K29" i="15"/>
  <c r="K17" i="15"/>
  <c r="I15" i="4"/>
  <c r="I22" i="4"/>
  <c r="I21" i="4"/>
  <c r="I13" i="4"/>
  <c r="I20" i="4"/>
  <c r="I16" i="4"/>
  <c r="I19" i="4"/>
  <c r="I18" i="4"/>
  <c r="I11" i="4"/>
  <c r="I14" i="4"/>
  <c r="I17" i="4"/>
  <c r="I25" i="4"/>
  <c r="I24" i="4"/>
  <c r="I12" i="4"/>
  <c r="I23" i="4"/>
  <c r="J15" i="4" l="1"/>
  <c r="K15" i="4" s="1"/>
  <c r="M15" i="4"/>
  <c r="M18" i="4"/>
  <c r="J18" i="4"/>
  <c r="K18" i="4" s="1"/>
  <c r="J24" i="4"/>
  <c r="K24" i="4" s="1"/>
  <c r="M24" i="4"/>
  <c r="J25" i="4"/>
  <c r="K25" i="4" s="1"/>
  <c r="M25" i="4"/>
  <c r="J17" i="4"/>
  <c r="K17" i="4" s="1"/>
  <c r="M17" i="4"/>
  <c r="J14" i="4"/>
  <c r="K14" i="4" s="1"/>
  <c r="M14" i="4"/>
  <c r="M11" i="4"/>
  <c r="J11" i="4"/>
  <c r="K11" i="4" s="1"/>
  <c r="M19" i="4"/>
  <c r="J19" i="4"/>
  <c r="K19" i="4" s="1"/>
  <c r="J16" i="4"/>
  <c r="K16" i="4" s="1"/>
  <c r="M16" i="4"/>
  <c r="M20" i="4"/>
  <c r="J20" i="4"/>
  <c r="K20" i="4" s="1"/>
  <c r="J13" i="4"/>
  <c r="K13" i="4" s="1"/>
  <c r="M13" i="4"/>
  <c r="J23" i="4"/>
  <c r="K23" i="4" s="1"/>
  <c r="M23" i="4"/>
  <c r="J21" i="4"/>
  <c r="K21" i="4" s="1"/>
  <c r="M21" i="4"/>
  <c r="J12" i="4"/>
  <c r="K12" i="4" s="1"/>
  <c r="M12" i="4"/>
  <c r="J22" i="4"/>
  <c r="K22" i="4" s="1"/>
  <c r="M22"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<sst xmlns="http://schemas.openxmlformats.org/spreadsheetml/2006/main" count="1412" uniqueCount="539">
  <si>
    <t>Proizvod</t>
  </si>
  <si>
    <t>Beograd</t>
  </si>
  <si>
    <t>Novi Sad</t>
  </si>
  <si>
    <t>Niš</t>
  </si>
  <si>
    <t>Kragujevac</t>
  </si>
  <si>
    <t>Grad</t>
  </si>
  <si>
    <t>Profit</t>
  </si>
  <si>
    <t>Broj transakcije</t>
  </si>
  <si>
    <t>Ime i prezime prodavca</t>
  </si>
  <si>
    <t>Milan Petrović</t>
  </si>
  <si>
    <t>Jelena Marković</t>
  </si>
  <si>
    <t>Nikola Jovanović</t>
  </si>
  <si>
    <t>Ivana Stojanov</t>
  </si>
  <si>
    <t>Marko Ilić</t>
  </si>
  <si>
    <t>Ana Kovačević</t>
  </si>
  <si>
    <t>Stefan Simić</t>
  </si>
  <si>
    <t>Milica Nikolić</t>
  </si>
  <si>
    <t>Vladimir Đorđević</t>
  </si>
  <si>
    <t>Teodora Lukić</t>
  </si>
  <si>
    <t>Nemanja Ristić</t>
  </si>
  <si>
    <t>Sara Vuković</t>
  </si>
  <si>
    <t>Aleksandar Pavlović</t>
  </si>
  <si>
    <t>Katarina Milenković</t>
  </si>
  <si>
    <t>Luka Radovanović</t>
  </si>
  <si>
    <t>Marija Tomić</t>
  </si>
  <si>
    <t>Đorđe Stefanović</t>
  </si>
  <si>
    <t>Nataša Živković</t>
  </si>
  <si>
    <t>Filip Arsić</t>
  </si>
  <si>
    <t>Tamara Popović</t>
  </si>
  <si>
    <t>Cena</t>
  </si>
  <si>
    <t>Količina</t>
  </si>
  <si>
    <t>EV Punjač</t>
  </si>
  <si>
    <t>Električni bajs</t>
  </si>
  <si>
    <t>Pametni termostat</t>
  </si>
  <si>
    <t>Solarni panel</t>
  </si>
  <si>
    <t>Kućna baterija</t>
  </si>
  <si>
    <t>Subotica</t>
  </si>
  <si>
    <t>Zrenjanin</t>
  </si>
  <si>
    <t>Valjevo</t>
  </si>
  <si>
    <t>Pančevo</t>
  </si>
  <si>
    <t>Kraljevo</t>
  </si>
  <si>
    <t>Čačak</t>
  </si>
  <si>
    <t>Ukupan broj transakcija u kojima je prodat EV Punjač</t>
  </si>
  <si>
    <t>Prosečna količina pametnih termostata prodatih u Valjevu</t>
  </si>
  <si>
    <t>Ukupna količina kućnih baterija prodatih u Zrenjaninu</t>
  </si>
  <si>
    <t>Način plaćanja</t>
  </si>
  <si>
    <t>Na rate</t>
  </si>
  <si>
    <t>Gotovina</t>
  </si>
  <si>
    <t>ID</t>
  </si>
  <si>
    <t>Ime i Prezime</t>
  </si>
  <si>
    <t>Naziv odeljenja</t>
  </si>
  <si>
    <t>Pozicija</t>
  </si>
  <si>
    <t>Datum zaposlenja</t>
  </si>
  <si>
    <t>Marija Kovačević</t>
  </si>
  <si>
    <t>Finansije</t>
  </si>
  <si>
    <t>Finansijski analitičar</t>
  </si>
  <si>
    <t>Luka Petrović</t>
  </si>
  <si>
    <t>Ljudski resursi</t>
  </si>
  <si>
    <t>HR specijalista</t>
  </si>
  <si>
    <t>Ivana Jovanović</t>
  </si>
  <si>
    <t>Informacione tehnologije</t>
  </si>
  <si>
    <t>Softverski inženjer</t>
  </si>
  <si>
    <t>Nemanja Ilić</t>
  </si>
  <si>
    <t>Marketing</t>
  </si>
  <si>
    <t>Digitalni marketing menadžer</t>
  </si>
  <si>
    <t>Jelena Simić</t>
  </si>
  <si>
    <t>QA inženjer</t>
  </si>
  <si>
    <t>Marko Nikolić</t>
  </si>
  <si>
    <t>Prodaja</t>
  </si>
  <si>
    <t>Komercijalista</t>
  </si>
  <si>
    <t>Ana Stanković</t>
  </si>
  <si>
    <t>Nabavka</t>
  </si>
  <si>
    <t>Specijalista za nabavku</t>
  </si>
  <si>
    <t>Bojan Đorđević</t>
  </si>
  <si>
    <t>Računovođa</t>
  </si>
  <si>
    <t>Katarina Lukić</t>
  </si>
  <si>
    <t>Koordinator za obuku</t>
  </si>
  <si>
    <t>Nikola Pavlović</t>
  </si>
  <si>
    <t>Sistem administrator</t>
  </si>
  <si>
    <t>Milica Ristić</t>
  </si>
  <si>
    <t>Grafički dizajner</t>
  </si>
  <si>
    <t>Stefan Janković</t>
  </si>
  <si>
    <t>Menadžer prodaje</t>
  </si>
  <si>
    <t>Tamara Živković</t>
  </si>
  <si>
    <t>Logističar</t>
  </si>
  <si>
    <t>Ivan Milenković</t>
  </si>
  <si>
    <t>DevOps inženjer</t>
  </si>
  <si>
    <t>Dragana Petrović</t>
  </si>
  <si>
    <t>Kontrolor finansija</t>
  </si>
  <si>
    <t>Jovana Ilić</t>
  </si>
  <si>
    <t>HR administrator</t>
  </si>
  <si>
    <t>Aleksandar Savić</t>
  </si>
  <si>
    <t>Frontend developer</t>
  </si>
  <si>
    <t>Nevena Popović</t>
  </si>
  <si>
    <t>SEO specijalista</t>
  </si>
  <si>
    <t>Miloš Radovanović</t>
  </si>
  <si>
    <t>Terenski prodavac</t>
  </si>
  <si>
    <t>Teodora Vuković</t>
  </si>
  <si>
    <t>Nabavljač</t>
  </si>
  <si>
    <t>Filip Jovančić</t>
  </si>
  <si>
    <t>Blagajnik</t>
  </si>
  <si>
    <t>Kristina Nikolić</t>
  </si>
  <si>
    <t>Specijalista za benefite</t>
  </si>
  <si>
    <t>Vuk Lazić</t>
  </si>
  <si>
    <t>Backend developer</t>
  </si>
  <si>
    <t>Marija Stevanović</t>
  </si>
  <si>
    <t>Brand menadžer</t>
  </si>
  <si>
    <t>Ognjen Pavlović</t>
  </si>
  <si>
    <t>Key account menadžer</t>
  </si>
  <si>
    <t>Isidora Kostić</t>
  </si>
  <si>
    <t>Specijalista za uvoz</t>
  </si>
  <si>
    <t>Andrej Petrović</t>
  </si>
  <si>
    <t>IT podrška</t>
  </si>
  <si>
    <t>Milena Jović</t>
  </si>
  <si>
    <t>Interni revizor</t>
  </si>
  <si>
    <t>Dušan Milosavljević</t>
  </si>
  <si>
    <t>HR analitičar</t>
  </si>
  <si>
    <t>Tijana Rakić</t>
  </si>
  <si>
    <t>UI/UX dizajner</t>
  </si>
  <si>
    <t>Petar Stojanović</t>
  </si>
  <si>
    <t>Copywriter</t>
  </si>
  <si>
    <t>Ivana Knežević</t>
  </si>
  <si>
    <t>Asistent prodaje</t>
  </si>
  <si>
    <t>Marko Vasić</t>
  </si>
  <si>
    <t>Menadžer nabavke</t>
  </si>
  <si>
    <t>Jelena Đukić</t>
  </si>
  <si>
    <t>Data analitičar</t>
  </si>
  <si>
    <t>Nikola Simić</t>
  </si>
  <si>
    <t>Finansijski savetnik</t>
  </si>
  <si>
    <t>Anđela Lukić</t>
  </si>
  <si>
    <t>HR partner</t>
  </si>
  <si>
    <t>Stefan Ilić</t>
  </si>
  <si>
    <t>Cloud inženjer</t>
  </si>
  <si>
    <t>Marina Nikolić</t>
  </si>
  <si>
    <t>Event koordinator</t>
  </si>
  <si>
    <t>Bojana Petrović</t>
  </si>
  <si>
    <t>Specijalista za prodajnu analitiku</t>
  </si>
  <si>
    <t>Lazar Jovanović</t>
  </si>
  <si>
    <t>Skladištar</t>
  </si>
  <si>
    <t>Menadžer odeljenja</t>
  </si>
  <si>
    <t>Ana Petrović</t>
  </si>
  <si>
    <t>Marko Jovanović</t>
  </si>
  <si>
    <t>Jelena Ilić</t>
  </si>
  <si>
    <t>Nikola Nikolić</t>
  </si>
  <si>
    <t>Milena Stojanov</t>
  </si>
  <si>
    <t>Petar Kostić</t>
  </si>
  <si>
    <t>Da</t>
  </si>
  <si>
    <t>Ne</t>
  </si>
  <si>
    <t>Row Labels</t>
  </si>
  <si>
    <t>Grand Total</t>
  </si>
  <si>
    <t xml:space="preserve">Igra je disciplina </t>
  </si>
  <si>
    <t xml:space="preserve">Disciplina rađa rezultate </t>
  </si>
  <si>
    <t>Excel je igra</t>
  </si>
  <si>
    <t>A sa rezultatima… igru vodiš ti</t>
  </si>
  <si>
    <t>Ovaj kurs je osmišljen da vam omogući da brzo i lako savladate najvažnija znanja iz Excela kroz praktične primere i realne zadatke. Samo pratite redosled zadataka i gradite veštine korak po korak.</t>
  </si>
  <si>
    <t>Zaposleni</t>
  </si>
  <si>
    <t xml:space="preserve">        Prodaja Jan</t>
  </si>
  <si>
    <t>Prodaja Feb</t>
  </si>
  <si>
    <t>Prodaja Mar</t>
  </si>
  <si>
    <t>Petar Nikolić</t>
  </si>
  <si>
    <t>Ivana Stojanović</t>
  </si>
  <si>
    <t>Nikola Ilić</t>
  </si>
  <si>
    <t>Maja Đorđević</t>
  </si>
  <si>
    <t>Stefan Milošević</t>
  </si>
  <si>
    <t>Milica Kovačević</t>
  </si>
  <si>
    <t>Vladimir Popović</t>
  </si>
  <si>
    <t>Sara Lukić</t>
  </si>
  <si>
    <t>Filip Savić</t>
  </si>
  <si>
    <t>Tamara Ristić</t>
  </si>
  <si>
    <t>Aleksandar Vasić</t>
  </si>
  <si>
    <t>Katarina Tomić</t>
  </si>
  <si>
    <t>Nenad Pavlović</t>
  </si>
  <si>
    <t>Dragana Stevanović</t>
  </si>
  <si>
    <t>Bojan Radovanović</t>
  </si>
  <si>
    <t>Marija Milenković</t>
  </si>
  <si>
    <t>Dušan Živković</t>
  </si>
  <si>
    <t xml:space="preserve">DINAMIČKA TABELA </t>
  </si>
  <si>
    <t>CTRL+A, CTRL+T</t>
  </si>
  <si>
    <t>Šta je zapravo excel tabela?</t>
  </si>
  <si>
    <r>
      <t xml:space="preserve">Biramo produktivniji način </t>
    </r>
    <r>
      <rPr>
        <b/>
        <sz val="16"/>
        <color theme="6" tint="0.39997558519241921"/>
        <rFont val="Aptos Narrow"/>
        <family val="2"/>
      </rPr>
      <t>☑</t>
    </r>
  </si>
  <si>
    <t>Total</t>
  </si>
  <si>
    <t>UPUTSTVO</t>
  </si>
  <si>
    <t>Opseg sa brojevima i tekstom</t>
  </si>
  <si>
    <t>KORISNE PREČICE</t>
  </si>
  <si>
    <t>OBRATI PAŽNJU</t>
  </si>
  <si>
    <t>Isecanje</t>
  </si>
  <si>
    <t>Ctrl + X</t>
  </si>
  <si>
    <t>Kopiranje</t>
  </si>
  <si>
    <t>Ctrl + C</t>
  </si>
  <si>
    <t>Ctrl + V</t>
  </si>
  <si>
    <t>F4</t>
  </si>
  <si>
    <t>Dodavanje ćelija/redova/kolona</t>
  </si>
  <si>
    <t>Ctrl+ +</t>
  </si>
  <si>
    <t>Brisanje ćelija/redova/kolona</t>
  </si>
  <si>
    <t>Ctrl+ -</t>
  </si>
  <si>
    <t>Undo</t>
  </si>
  <si>
    <t>Ctrl + Z</t>
  </si>
  <si>
    <t>Formatiranje u procenat</t>
  </si>
  <si>
    <t>Ctrl + Shift + %</t>
  </si>
  <si>
    <t>Novi dokument</t>
  </si>
  <si>
    <t>Ctrl + N</t>
  </si>
  <si>
    <t>Čuvanje radnog lista</t>
  </si>
  <si>
    <t>Ctrl + S</t>
  </si>
  <si>
    <t>Select All – označavanje celog radnog lista ili tabele</t>
  </si>
  <si>
    <t>Ctrl + A</t>
  </si>
  <si>
    <t>Ctrl + Spacebar</t>
  </si>
  <si>
    <t>Selektovanje do poslednje popunjene ćelije u redu ili koloni.</t>
  </si>
  <si>
    <t>Ctrl + Shift + →</t>
  </si>
  <si>
    <t>Selektovanje cele kolone</t>
  </si>
  <si>
    <t>Zaključavanje i otključavanje referenci</t>
  </si>
  <si>
    <t>Ubaci kopirano</t>
  </si>
  <si>
    <t>Selektovanje poslednje popunjene ćelije u koloni.</t>
  </si>
  <si>
    <t>Ctrl + ↓</t>
  </si>
  <si>
    <t>STATIČNA TABELA</t>
  </si>
  <si>
    <t>Otvara prozor za formatiranje ćelija (broj, decimale, valuta, datum..)</t>
  </si>
  <si>
    <t>Ctrl + 1</t>
  </si>
  <si>
    <t>⌘ + ↓</t>
  </si>
  <si>
    <t>⌘ + N</t>
  </si>
  <si>
    <t>⌘ + S</t>
  </si>
  <si>
    <t>⌘ + A</t>
  </si>
  <si>
    <t>⌘ + 1</t>
  </si>
  <si>
    <t>⌘ + X</t>
  </si>
  <si>
    <t>⌘ + C</t>
  </si>
  <si>
    <t>⌘ + V</t>
  </si>
  <si>
    <t>⌘ + T</t>
  </si>
  <si>
    <t>⌘ -</t>
  </si>
  <si>
    <t>⌘ + Z</t>
  </si>
  <si>
    <t>⌘ + Spacebar</t>
  </si>
  <si>
    <t>⌘ + Shift + →</t>
  </si>
  <si>
    <t>⌘ + ⇧ + %</t>
  </si>
  <si>
    <r>
      <rPr>
        <b/>
        <sz val="11"/>
        <color theme="1"/>
        <rFont val="Aptos Narrow"/>
        <family val="2"/>
        <scheme val="minor"/>
      </rPr>
      <t>MIN</t>
    </r>
    <r>
      <rPr>
        <sz val="11"/>
        <color theme="1"/>
        <rFont val="Aptos Narrow"/>
        <family val="2"/>
        <scheme val="minor"/>
      </rPr>
      <t xml:space="preserve"> = pronalazi najmanju vrednost u izabranom opsegu ćelija</t>
    </r>
  </si>
  <si>
    <r>
      <rPr>
        <b/>
        <sz val="11"/>
        <color theme="1"/>
        <rFont val="Aptos Narrow"/>
        <family val="2"/>
        <scheme val="minor"/>
      </rPr>
      <t>MAX</t>
    </r>
    <r>
      <rPr>
        <sz val="11"/>
        <color theme="1"/>
        <rFont val="Aptos Narrow"/>
        <family val="2"/>
        <scheme val="minor"/>
      </rPr>
      <t xml:space="preserve"> = pronalazi najveću vrednost u izabranom opsegu ćelija</t>
    </r>
  </si>
  <si>
    <r>
      <rPr>
        <b/>
        <sz val="11"/>
        <color theme="1"/>
        <rFont val="Aptos Narrow"/>
        <family val="2"/>
        <scheme val="minor"/>
      </rPr>
      <t>SUM</t>
    </r>
    <r>
      <rPr>
        <sz val="11"/>
        <color theme="1"/>
        <rFont val="Aptos Narrow"/>
        <family val="2"/>
        <scheme val="minor"/>
      </rPr>
      <t xml:space="preserve"> = sabira sve vrednosti u izabranom opsegu ćelija</t>
    </r>
  </si>
  <si>
    <r>
      <rPr>
        <b/>
        <sz val="11"/>
        <color theme="1"/>
        <rFont val="Aptos Narrow"/>
        <family val="2"/>
        <scheme val="minor"/>
      </rPr>
      <t>AVERAGE</t>
    </r>
    <r>
      <rPr>
        <sz val="11"/>
        <color theme="1"/>
        <rFont val="Aptos Narrow"/>
        <family val="2"/>
        <scheme val="minor"/>
      </rPr>
      <t xml:space="preserve"> = računa prosečnu vrednost svih brojeva u izabranom opsegu ćelija</t>
    </r>
  </si>
  <si>
    <r>
      <rPr>
        <b/>
        <sz val="11"/>
        <color theme="1"/>
        <rFont val="Aptos Narrow"/>
        <family val="2"/>
        <scheme val="minor"/>
      </rPr>
      <t>COUNT</t>
    </r>
    <r>
      <rPr>
        <sz val="11"/>
        <color theme="1"/>
        <rFont val="Aptos Narrow"/>
        <family val="2"/>
        <scheme val="minor"/>
      </rPr>
      <t xml:space="preserve"> = prebrojava koliko ćelija u izabranom opsegu sadrži brojeve (ne računa prazne ili tekstualne ćelije)</t>
    </r>
  </si>
  <si>
    <r>
      <t xml:space="preserve">2. Klikni na bilo koju ćeliju u dinamičkoj tabeli. Pojaviće se nova kartica </t>
    </r>
    <r>
      <rPr>
        <b/>
        <sz val="11"/>
        <color rgb="FF3F3F3F"/>
        <rFont val="Aptos Narrow"/>
        <family val="2"/>
        <scheme val="minor"/>
      </rPr>
      <t>Table Design</t>
    </r>
    <r>
      <rPr>
        <sz val="11"/>
        <color rgb="FF3F3F3F"/>
        <rFont val="Aptos Narrow"/>
        <family val="2"/>
        <scheme val="minor"/>
      </rPr>
      <t xml:space="preserve">. U okviru </t>
    </r>
    <r>
      <rPr>
        <b/>
        <sz val="11"/>
        <color rgb="FF3F3F3F"/>
        <rFont val="Aptos Narrow"/>
        <family val="2"/>
        <scheme val="minor"/>
      </rPr>
      <t>Table Style Options</t>
    </r>
    <r>
      <rPr>
        <sz val="11"/>
        <color rgb="FF3F3F3F"/>
        <rFont val="Aptos Narrow"/>
        <family val="2"/>
        <scheme val="minor"/>
      </rPr>
      <t xml:space="preserve"> uključi opciju </t>
    </r>
    <r>
      <rPr>
        <b/>
        <sz val="11"/>
        <color rgb="FF3F3F3F"/>
        <rFont val="Aptos Narrow"/>
        <family val="2"/>
        <scheme val="minor"/>
      </rPr>
      <t>Total Row</t>
    </r>
    <r>
      <rPr>
        <sz val="11"/>
        <color rgb="FF3F3F3F"/>
        <rFont val="Aptos Narrow"/>
        <family val="2"/>
        <scheme val="minor"/>
      </rPr>
      <t>. Zatim izaberi funkcije MIN, MAX, SUM, AVERAGE, COUNT za odgovarajuće kolone.</t>
    </r>
  </si>
  <si>
    <t>TRX1A</t>
  </si>
  <si>
    <t>B024X</t>
  </si>
  <si>
    <t>A77K9</t>
  </si>
  <si>
    <t>C19B2</t>
  </si>
  <si>
    <t>F102M</t>
  </si>
  <si>
    <t>RX55A</t>
  </si>
  <si>
    <t>L90Z3</t>
  </si>
  <si>
    <t>TAX41</t>
  </si>
  <si>
    <t>M22QK</t>
  </si>
  <si>
    <t>Z804B</t>
  </si>
  <si>
    <t>Q71M2</t>
  </si>
  <si>
    <t>HX309</t>
  </si>
  <si>
    <t>PR55X</t>
  </si>
  <si>
    <t>A992T</t>
  </si>
  <si>
    <t>C7K41</t>
  </si>
  <si>
    <t>VB120</t>
  </si>
  <si>
    <t>X5A77</t>
  </si>
  <si>
    <t>M41ZP</t>
  </si>
  <si>
    <t>K303L</t>
  </si>
  <si>
    <t>TRX92</t>
  </si>
  <si>
    <t>LQ550</t>
  </si>
  <si>
    <t>F88B1</t>
  </si>
  <si>
    <t>D120X</t>
  </si>
  <si>
    <t>R7C90</t>
  </si>
  <si>
    <t>B9M44</t>
  </si>
  <si>
    <t>ZQ210</t>
  </si>
  <si>
    <t>H55K2</t>
  </si>
  <si>
    <t>TXA300</t>
  </si>
  <si>
    <t>M90R1</t>
  </si>
  <si>
    <t>P4X72</t>
  </si>
  <si>
    <t>C88MT</t>
  </si>
  <si>
    <t>RX901</t>
  </si>
  <si>
    <t>J120P</t>
  </si>
  <si>
    <t>A5M33</t>
  </si>
  <si>
    <t>TRB210</t>
  </si>
  <si>
    <t>N77L4</t>
  </si>
  <si>
    <t>Y204X</t>
  </si>
  <si>
    <t>QX511</t>
  </si>
  <si>
    <t>B3A92</t>
  </si>
  <si>
    <t>H7K58</t>
  </si>
  <si>
    <r>
      <t xml:space="preserve">Dok si na kartici Table Design, u delu </t>
    </r>
    <r>
      <rPr>
        <b/>
        <sz val="11"/>
        <color rgb="FF3F3F3F"/>
        <rFont val="Aptos Narrow"/>
        <family val="2"/>
        <scheme val="minor"/>
      </rPr>
      <t>Properties</t>
    </r>
    <r>
      <rPr>
        <sz val="11"/>
        <color rgb="FF3F3F3F"/>
        <rFont val="Aptos Narrow"/>
        <family val="2"/>
        <scheme val="minor"/>
      </rPr>
      <t xml:space="preserve"> (levo), </t>
    </r>
    <r>
      <rPr>
        <b/>
        <sz val="11"/>
        <color rgb="FF3F3F3F"/>
        <rFont val="Aptos Narrow"/>
        <family val="2"/>
        <scheme val="minor"/>
      </rPr>
      <t>dodeli naziv tabeli</t>
    </r>
    <r>
      <rPr>
        <sz val="11"/>
        <color rgb="FF3F3F3F"/>
        <rFont val="Aptos Narrow"/>
        <family val="2"/>
        <scheme val="minor"/>
      </rPr>
      <t>; ako naziv ima više reči, koristi donju crtu umesto razmaka (npr. Mesečna_prodaja).</t>
    </r>
  </si>
  <si>
    <t>Broj transakcija solarnih panela u Pančevu gde je način plaćanja “Na rate” i količina je veća od 3</t>
  </si>
  <si>
    <t>Statističke funkcije</t>
  </si>
  <si>
    <r>
      <rPr>
        <b/>
        <sz val="11"/>
        <color theme="1"/>
        <rFont val="Aptos Narrow"/>
        <family val="2"/>
        <scheme val="minor"/>
      </rPr>
      <t>SUMIF</t>
    </r>
    <r>
      <rPr>
        <sz val="11"/>
        <color theme="1"/>
        <rFont val="Aptos Narrow"/>
        <family val="2"/>
        <scheme val="minor"/>
      </rPr>
      <t xml:space="preserve"> – sabira vrednosti u ćelijama koje zadovoljavaju jedan kriterijum</t>
    </r>
  </si>
  <si>
    <t>Odredi ukupnu količinu Električnih bajseva prodatih na rate u Novom Sadu</t>
  </si>
  <si>
    <t>Ukupan broj transakcija u koloni Broj transakcije</t>
  </si>
  <si>
    <r>
      <t xml:space="preserve">Dugme </t>
    </r>
    <r>
      <rPr>
        <b/>
        <sz val="11"/>
        <color rgb="FF3F3F3F"/>
        <rFont val="Aptos Narrow"/>
        <family val="2"/>
        <scheme val="minor"/>
      </rPr>
      <t>AutoSave</t>
    </r>
    <r>
      <rPr>
        <sz val="11"/>
        <color rgb="FF3F3F3F"/>
        <rFont val="Aptos Narrow"/>
        <family val="2"/>
        <scheme val="minor"/>
      </rPr>
      <t xml:space="preserve"> u gornjem levom uglu treba da bude uključeno, kako bi se sprečio gubitak podataka u slučaju pucanja fajla.</t>
    </r>
  </si>
  <si>
    <r>
      <t xml:space="preserve">1. Kada god možete koristite </t>
    </r>
    <r>
      <rPr>
        <b/>
        <sz val="11"/>
        <color rgb="FF3F3F3F"/>
        <rFont val="Aptos Narrow"/>
        <family val="2"/>
        <scheme val="minor"/>
      </rPr>
      <t>dinamičku tabelu</t>
    </r>
    <r>
      <rPr>
        <sz val="11"/>
        <color rgb="FF3F3F3F"/>
        <rFont val="Aptos Narrow"/>
        <family val="2"/>
        <scheme val="minor"/>
      </rPr>
      <t>.</t>
    </r>
  </si>
  <si>
    <t>Šta ako nam nedostaju neki podaci?</t>
  </si>
  <si>
    <t>Markiramo opseg → Ctrl + G → „Go To“ → „Special“ → čekiramo Blanks</t>
  </si>
  <si>
    <t>COUNTBLANK(opseg) prebrojava koliko praznih ćelija postoji u odabranom opsegu</t>
  </si>
  <si>
    <t>Ukupan broj praznih ćelija u tabeli je:</t>
  </si>
  <si>
    <t>1. Prva opcija – označavanje praznih ćelija:</t>
  </si>
  <si>
    <t>2. Druga opcija – funkcija COUNTBLANK:</t>
  </si>
  <si>
    <t>Milica</t>
  </si>
  <si>
    <t>Marko</t>
  </si>
  <si>
    <t>Tamara</t>
  </si>
  <si>
    <t>Nikola</t>
  </si>
  <si>
    <t>Đorđe</t>
  </si>
  <si>
    <t>Ana</t>
  </si>
  <si>
    <t>Teodora</t>
  </si>
  <si>
    <t>Filip</t>
  </si>
  <si>
    <t>Ivana</t>
  </si>
  <si>
    <t>Nemanja</t>
  </si>
  <si>
    <t>Jelena</t>
  </si>
  <si>
    <t>Aleksandar</t>
  </si>
  <si>
    <t>Sara</t>
  </si>
  <si>
    <t>Katarina</t>
  </si>
  <si>
    <t>Milan</t>
  </si>
  <si>
    <t>Nikolić</t>
  </si>
  <si>
    <t>Ilić</t>
  </si>
  <si>
    <t>Popović</t>
  </si>
  <si>
    <t>Jovanović</t>
  </si>
  <si>
    <t>Stefanović</t>
  </si>
  <si>
    <t>Kovačević</t>
  </si>
  <si>
    <t>Lukić</t>
  </si>
  <si>
    <t>Arsić</t>
  </si>
  <si>
    <t>Stojanov</t>
  </si>
  <si>
    <t>Ristić</t>
  </si>
  <si>
    <t>Marković</t>
  </si>
  <si>
    <t>Pavlović</t>
  </si>
  <si>
    <t>Vuković</t>
  </si>
  <si>
    <t>Milenković</t>
  </si>
  <si>
    <t>Petrović</t>
  </si>
  <si>
    <r>
      <rPr>
        <b/>
        <sz val="11"/>
        <color theme="1"/>
        <rFont val="Aptos Narrow"/>
        <family val="2"/>
        <scheme val="minor"/>
      </rPr>
      <t xml:space="preserve">1. Ctrl + E </t>
    </r>
    <r>
      <rPr>
        <sz val="11"/>
        <color theme="1"/>
        <rFont val="Aptos Narrow"/>
        <family val="2"/>
        <scheme val="minor"/>
      </rPr>
      <t>= Flash Fill (automatsko popunjavanje prema prepoznatom obrascu)</t>
    </r>
  </si>
  <si>
    <r>
      <rPr>
        <b/>
        <sz val="11"/>
        <color theme="1"/>
        <rFont val="Aptos Narrow"/>
        <family val="2"/>
        <scheme val="minor"/>
      </rPr>
      <t xml:space="preserve">2. Text to Columns </t>
    </r>
    <r>
      <rPr>
        <sz val="11"/>
        <color theme="1"/>
        <rFont val="Aptos Narrow"/>
        <family val="2"/>
        <scheme val="minor"/>
      </rPr>
      <t>= Data → Text to Columns → Delimited → Next → izabrati delimiter (npr. Space) → Next → u Destination izabrati C6 → Finish</t>
    </r>
  </si>
  <si>
    <r>
      <rPr>
        <b/>
        <sz val="11"/>
        <color theme="1"/>
        <rFont val="Aptos Narrow"/>
        <family val="2"/>
        <scheme val="minor"/>
      </rPr>
      <t>3. Korišćenjem funkcija</t>
    </r>
    <r>
      <rPr>
        <sz val="11"/>
        <color theme="1"/>
        <rFont val="Aptos Narrow"/>
        <family val="2"/>
        <scheme val="minor"/>
      </rPr>
      <t xml:space="preserve"> (naprednije) = FIND, LEFT, RIGHT, LEN</t>
    </r>
  </si>
  <si>
    <r>
      <rPr>
        <b/>
        <sz val="11"/>
        <color theme="1"/>
        <rFont val="Aptos Narrow"/>
        <family val="2"/>
        <scheme val="minor"/>
      </rPr>
      <t xml:space="preserve">4. Power Query </t>
    </r>
    <r>
      <rPr>
        <sz val="11"/>
        <color theme="1"/>
        <rFont val="Aptos Narrow"/>
        <family val="2"/>
        <scheme val="minor"/>
      </rPr>
      <t>– uvoz, čišćenje i automatska transformacija teksta u kolone</t>
    </r>
  </si>
  <si>
    <t>Kako razdvojiti ime i prezime iz kolone B?  Postoji više načina:</t>
  </si>
  <si>
    <t>Istakni važne podatke: Formatiranje ćelija</t>
  </si>
  <si>
    <t>Ime</t>
  </si>
  <si>
    <t>Prezime</t>
  </si>
  <si>
    <t>Mesec</t>
  </si>
  <si>
    <t>Dan</t>
  </si>
  <si>
    <t>Godina</t>
  </si>
  <si>
    <t>Ime i prezime</t>
  </si>
  <si>
    <t>Sastanak (posle 15 dana)</t>
  </si>
  <si>
    <t>Spojiti datum</t>
  </si>
  <si>
    <r>
      <t xml:space="preserve">Funkcije za izdvajanje delova datuma: </t>
    </r>
    <r>
      <rPr>
        <b/>
        <sz val="11"/>
        <color theme="1"/>
        <rFont val="Aptos Narrow"/>
        <family val="2"/>
        <scheme val="minor"/>
      </rPr>
      <t>YEAR, MONTH, DAY</t>
    </r>
  </si>
  <si>
    <r>
      <t xml:space="preserve">Funkcija </t>
    </r>
    <r>
      <rPr>
        <b/>
        <sz val="11"/>
        <color theme="1"/>
        <rFont val="Aptos Narrow"/>
        <family val="2"/>
        <scheme val="minor"/>
      </rPr>
      <t>DATE</t>
    </r>
    <r>
      <rPr>
        <sz val="11"/>
        <color theme="1"/>
        <rFont val="Aptos Narrow"/>
        <family val="2"/>
        <scheme val="minor"/>
      </rPr>
      <t xml:space="preserve"> spaja godinu, mesec i dan</t>
    </r>
  </si>
  <si>
    <t>Prestanak zaposlenja</t>
  </si>
  <si>
    <t>gde unit određuje jedinicu: "Y" → godine, "M" → meseci, "D" → dani</t>
  </si>
  <si>
    <t>=DATEDIF(start_date, end_date, unit)</t>
  </si>
  <si>
    <t>Trajanje zaposlenja</t>
  </si>
  <si>
    <t>Sređivanje datuma:</t>
  </si>
  <si>
    <t>Spajanje i razdvajanje podataka / Rad sa datumima</t>
  </si>
  <si>
    <t>Ako hoćemo da izračunamo razliku između 2 datuma koristićemo funkciju:</t>
  </si>
  <si>
    <t>Obuka (posle mesec dana od sastanka)</t>
  </si>
  <si>
    <r>
      <t xml:space="preserve">Funkciju </t>
    </r>
    <r>
      <rPr>
        <b/>
        <sz val="11"/>
        <color theme="1"/>
        <rFont val="Aptos Narrow"/>
        <family val="2"/>
        <scheme val="minor"/>
      </rPr>
      <t>IFERROR</t>
    </r>
    <r>
      <rPr>
        <sz val="11"/>
        <color theme="1"/>
        <rFont val="Aptos Narrow"/>
        <family val="2"/>
        <scheme val="minor"/>
      </rPr>
      <t xml:space="preserve"> koristimo da prikažemo jasnu poruku ili alternativnu vrednost umesto greške. Ako formula vrati </t>
    </r>
    <r>
      <rPr>
        <b/>
        <sz val="11"/>
        <color theme="1"/>
        <rFont val="Aptos Narrow"/>
        <family val="2"/>
        <scheme val="minor"/>
      </rPr>
      <t>#DIV/0!</t>
    </r>
    <r>
      <rPr>
        <sz val="11"/>
        <color theme="1"/>
        <rFont val="Aptos Narrow"/>
        <family val="2"/>
        <scheme val="minor"/>
      </rPr>
      <t xml:space="preserve">, </t>
    </r>
    <r>
      <rPr>
        <b/>
        <sz val="11"/>
        <color theme="1"/>
        <rFont val="Aptos Narrow"/>
        <family val="2"/>
        <scheme val="minor"/>
      </rPr>
      <t>#N/A</t>
    </r>
    <r>
      <rPr>
        <sz val="11"/>
        <color theme="1"/>
        <rFont val="Aptos Narrow"/>
        <family val="2"/>
        <scheme val="minor"/>
      </rPr>
      <t xml:space="preserve"> ili neku drugu grešku, možemo podesiti da se umesto toga prikaže tekst „Nema rezultata“ ili prazan prostor.</t>
    </r>
  </si>
  <si>
    <r>
      <rPr>
        <b/>
        <sz val="12"/>
        <color theme="1"/>
        <rFont val="Aptos Narrow"/>
        <family val="2"/>
        <scheme val="minor"/>
      </rPr>
      <t>Uslovno formatiranje</t>
    </r>
    <r>
      <rPr>
        <sz val="12"/>
        <color theme="1"/>
        <rFont val="Aptos Narrow"/>
        <family val="2"/>
        <scheme val="minor"/>
      </rPr>
      <t xml:space="preserve"> automatski menja izgled ćelija (boju, font, stil) na osnovu pravila koja vi postavite = Home → Style → Conditional Formatting </t>
    </r>
  </si>
  <si>
    <r>
      <rPr>
        <b/>
        <sz val="12"/>
        <color theme="1"/>
        <rFont val="Aptos Narrow"/>
        <family val="2"/>
        <scheme val="minor"/>
      </rPr>
      <t>Format Painter</t>
    </r>
    <r>
      <rPr>
        <sz val="12"/>
        <color theme="1"/>
        <rFont val="Aptos Narrow"/>
        <family val="2"/>
        <scheme val="minor"/>
      </rPr>
      <t xml:space="preserve"> kopira izgled ćelije (boju, font, stil) i primenjuje ga na druge ćelije = Home → Clipboard → Format Painter (Kopiranje formata)</t>
    </r>
  </si>
  <si>
    <t>ID zaposlenog</t>
  </si>
  <si>
    <t>Plata (RSD)</t>
  </si>
  <si>
    <t>IT administrator</t>
  </si>
  <si>
    <t>Marketing menadžer</t>
  </si>
  <si>
    <t>Projektni koordinator</t>
  </si>
  <si>
    <t>Programer</t>
  </si>
  <si>
    <t>Pravni savetnik</t>
  </si>
  <si>
    <t>Specijalista za obuke</t>
  </si>
  <si>
    <t>Finansijski menadžer</t>
  </si>
  <si>
    <t>Marketing asistent</t>
  </si>
  <si>
    <t>HR menadžer</t>
  </si>
  <si>
    <t>Projektni menadžer</t>
  </si>
  <si>
    <t>Status zaposlenja</t>
  </si>
  <si>
    <t>Aktivan</t>
  </si>
  <si>
    <t xml:space="preserve">Prisustvo (%) </t>
  </si>
  <si>
    <t>4. Formatiraj kolonu „Plata“ tako da se prikazuje u RSD i sa dve decimale</t>
  </si>
  <si>
    <t>Opadajući meni</t>
  </si>
  <si>
    <t>Format Cells (Ctrl+1)</t>
  </si>
  <si>
    <t>Uslovno formatiranje</t>
  </si>
  <si>
    <t>1. Unesi ID zaposlenog tako da ide redom: 001, 002, 003… Postoje 2 načina</t>
  </si>
  <si>
    <t>Milica     Nikolić</t>
  </si>
  <si>
    <t>Marko ILIĆ</t>
  </si>
  <si>
    <t>Nikola   Jovanović</t>
  </si>
  <si>
    <t>NEMANJA  Ristić</t>
  </si>
  <si>
    <r>
      <t xml:space="preserve">Funkcija </t>
    </r>
    <r>
      <rPr>
        <b/>
        <sz val="11"/>
        <color theme="1"/>
        <rFont val="Aptos Narrow"/>
        <family val="2"/>
        <scheme val="minor"/>
      </rPr>
      <t>TRIM</t>
    </r>
    <r>
      <rPr>
        <sz val="11"/>
        <color theme="1"/>
        <rFont val="Aptos Narrow"/>
        <family val="2"/>
        <scheme val="minor"/>
      </rPr>
      <t xml:space="preserve"> uklanja suvišne praznine iz teksta, dok funkcija </t>
    </r>
    <r>
      <rPr>
        <b/>
        <sz val="11"/>
        <color theme="1"/>
        <rFont val="Aptos Narrow"/>
        <family val="2"/>
        <scheme val="minor"/>
      </rPr>
      <t>PROPER</t>
    </r>
    <r>
      <rPr>
        <sz val="11"/>
        <color theme="1"/>
        <rFont val="Aptos Narrow"/>
        <family val="2"/>
        <scheme val="minor"/>
      </rPr>
      <t xml:space="preserve"> pretvara svaku reč tako da počinje velikim slovom</t>
    </r>
  </si>
  <si>
    <t>Sara       Vuković</t>
  </si>
  <si>
    <t>Milan    Petrović</t>
  </si>
  <si>
    <t>Jelena MarKović</t>
  </si>
  <si>
    <t>TeodoRa LukiĆ</t>
  </si>
  <si>
    <t>Funkcije za čišćenje i formatiranje teksta</t>
  </si>
  <si>
    <t>Ime i prezime2</t>
  </si>
  <si>
    <t>2. Kolonu F formatiraj kao Short Date</t>
  </si>
  <si>
    <t>3. Formatiraj kolonu H tako da se vrednosti prikazuju kao procenat</t>
  </si>
  <si>
    <t>5. Sredi kolonu D tako da ukloniš sve suvišne razmake i svaka reč počinje velikim slovom koristeći funkcije TRIM i PROPER. Potom, da rezultat ne bi ostao kao formula, uradi copy → paste values</t>
  </si>
  <si>
    <t>6. Primeni uslovno formatiranje tako da sve vrednosti u koloni „Prisustvo“ koje su manje od 80% budu obojene crvenom bojom, tako što ćeš koristiti New Rule → Format only cells that contain → Less than 80%</t>
  </si>
  <si>
    <t>7. Primeni uslovno formatiranje tako da ceo red bude obojen zelenom bojom ako je Prisustvo (%) veće ili jednako 90%. To ćeš uraditi tako što odabereš New Rule → Use a formula to determine which cells to format i uneseš odgovarajuću formulu</t>
  </si>
  <si>
    <t>Neaktivan</t>
  </si>
  <si>
    <t>Označi kolonu G (Status zaposlenja), idi na Data → Data Tools → Data Validation → Allow → List i u Source označi vrednosti sa ćelija L24:L25</t>
  </si>
  <si>
    <t>Softver</t>
  </si>
  <si>
    <t>Datum prodaje</t>
  </si>
  <si>
    <t>Bonus</t>
  </si>
  <si>
    <t>CRM Suite</t>
  </si>
  <si>
    <t>Marketing Automation</t>
  </si>
  <si>
    <t>Email Marketing Pro</t>
  </si>
  <si>
    <t>Project Tracker</t>
  </si>
  <si>
    <t>ERP System</t>
  </si>
  <si>
    <t>Finance Analyzer</t>
  </si>
  <si>
    <t>Supply Chain Optimizer</t>
  </si>
  <si>
    <t>HR Manager Pro</t>
  </si>
  <si>
    <t>E-Learning Platform</t>
  </si>
  <si>
    <t>LegalDocs Manager</t>
  </si>
  <si>
    <t>CyberSecurity Shield</t>
  </si>
  <si>
    <t>DevOps Tools</t>
  </si>
  <si>
    <t>Sales Assistant</t>
  </si>
  <si>
    <t>Prihod</t>
  </si>
  <si>
    <t>IF funkcija:osnovna logika</t>
  </si>
  <si>
    <t>=IF(uslov, vrednost_ako_je_tačno, vrednost_ako_je_netačno)</t>
  </si>
  <si>
    <t>IF funkcija proverava da li je neki uslov tačan. Ako jeste = vraća jedan rezultat, ako nije = vraća drugi.</t>
  </si>
  <si>
    <t>Jedan uslov</t>
  </si>
  <si>
    <t>Bonus 1</t>
  </si>
  <si>
    <t>Bonus 2</t>
  </si>
  <si>
    <t>Ako imamo više uslova, možemo kombinovati IF funkciju sa sledećim funkcijama:</t>
  </si>
  <si>
    <t>Više uslova sa AND</t>
  </si>
  <si>
    <t>Cena (RSD)</t>
  </si>
  <si>
    <t>Prihod (RSD)</t>
  </si>
  <si>
    <t>Više uslova sa OR</t>
  </si>
  <si>
    <t>Status proizvoda</t>
  </si>
  <si>
    <r>
      <t xml:space="preserve">2. </t>
    </r>
    <r>
      <rPr>
        <b/>
        <sz val="11"/>
        <color theme="1"/>
        <rFont val="Aptos Narrow"/>
        <family val="2"/>
        <scheme val="minor"/>
      </rPr>
      <t>OR</t>
    </r>
    <r>
      <rPr>
        <sz val="11"/>
        <color theme="1"/>
        <rFont val="Aptos Narrow"/>
        <family val="2"/>
        <scheme val="minor"/>
      </rPr>
      <t xml:space="preserve"> = znači da je dovoljno da je bar jedan od uslova ispunjen</t>
    </r>
    <r>
      <rPr>
        <sz val="11"/>
        <color theme="1"/>
        <rFont val="Aptos Narrow"/>
        <family val="2"/>
        <scheme val="minor"/>
      </rPr>
      <t xml:space="preserve"> (</t>
    </r>
    <r>
      <rPr>
        <b/>
        <sz val="11"/>
        <color theme="1"/>
        <rFont val="Aptos Narrow"/>
        <family val="2"/>
        <scheme val="minor"/>
      </rPr>
      <t>ili</t>
    </r>
    <r>
      <rPr>
        <sz val="11"/>
        <color theme="1"/>
        <rFont val="Aptos Narrow"/>
        <family val="2"/>
        <scheme val="minor"/>
      </rPr>
      <t xml:space="preserve"> jedno </t>
    </r>
    <r>
      <rPr>
        <b/>
        <sz val="11"/>
        <color theme="1"/>
        <rFont val="Aptos Narrow"/>
        <family val="2"/>
        <scheme val="minor"/>
      </rPr>
      <t>ili</t>
    </r>
    <r>
      <rPr>
        <sz val="11"/>
        <color theme="1"/>
        <rFont val="Aptos Narrow"/>
        <family val="2"/>
        <scheme val="minor"/>
      </rPr>
      <t xml:space="preserve"> drugo)</t>
    </r>
  </si>
  <si>
    <r>
      <t xml:space="preserve">1. </t>
    </r>
    <r>
      <rPr>
        <b/>
        <sz val="11"/>
        <color theme="1"/>
        <rFont val="Aptos Narrow"/>
        <family val="2"/>
        <scheme val="minor"/>
      </rPr>
      <t>AND</t>
    </r>
    <r>
      <rPr>
        <sz val="11"/>
        <color theme="1"/>
        <rFont val="Aptos Narrow"/>
        <family val="2"/>
        <scheme val="minor"/>
      </rPr>
      <t xml:space="preserve"> = znači da svi uslovi moraju biti ispunjeni</t>
    </r>
    <r>
      <rPr>
        <sz val="11"/>
        <color theme="1"/>
        <rFont val="Aptos Narrow"/>
        <family val="2"/>
        <scheme val="minor"/>
      </rPr>
      <t xml:space="preserve"> (</t>
    </r>
    <r>
      <rPr>
        <b/>
        <sz val="11"/>
        <color theme="1"/>
        <rFont val="Aptos Narrow"/>
        <family val="2"/>
        <scheme val="minor"/>
      </rPr>
      <t>i</t>
    </r>
    <r>
      <rPr>
        <sz val="11"/>
        <color theme="1"/>
        <rFont val="Aptos Narrow"/>
        <family val="2"/>
        <scheme val="minor"/>
      </rPr>
      <t xml:space="preserve"> jedno</t>
    </r>
    <r>
      <rPr>
        <b/>
        <sz val="11"/>
        <color theme="1"/>
        <rFont val="Aptos Narrow"/>
        <family val="2"/>
        <scheme val="minor"/>
      </rPr>
      <t xml:space="preserve"> i</t>
    </r>
    <r>
      <rPr>
        <sz val="11"/>
        <color theme="1"/>
        <rFont val="Aptos Narrow"/>
        <family val="2"/>
        <scheme val="minor"/>
      </rPr>
      <t xml:space="preserve"> drugo)</t>
    </r>
  </si>
  <si>
    <t>1. Ukoliko je proizvod plaćen gotovinom, u koloni I prikaži bonus od 5%. U suprotnom napiši: "nema bonusa"</t>
  </si>
  <si>
    <r>
      <t xml:space="preserve">2. Kompanija nagrađuje prodavce za svaku pojedinačnu transakciju u kojoj su ostvarili veliki prihod </t>
    </r>
    <r>
      <rPr>
        <b/>
        <sz val="11"/>
        <color theme="1"/>
        <rFont val="Aptos Narrow"/>
        <family val="2"/>
        <scheme val="minor"/>
      </rPr>
      <t>i</t>
    </r>
    <r>
      <rPr>
        <sz val="11"/>
        <color theme="1"/>
        <rFont val="Aptos Narrow"/>
        <family val="2"/>
        <scheme val="minor"/>
      </rPr>
      <t xml:space="preserve"> prodali više komada softvera. Ako je prihod veći od 600,000 RSD </t>
    </r>
    <r>
      <rPr>
        <b/>
        <sz val="11"/>
        <color theme="1"/>
        <rFont val="Aptos Narrow"/>
        <family val="2"/>
        <scheme val="minor"/>
      </rPr>
      <t>i</t>
    </r>
    <r>
      <rPr>
        <sz val="11"/>
        <color theme="1"/>
        <rFont val="Aptos Narrow"/>
        <family val="2"/>
        <scheme val="minor"/>
      </rPr>
      <t xml:space="preserve"> količina ≥ 3, u koloni J se odmah obračunava bonus od 20% prihoda, u suprotnom ćelija ostaje prazna</t>
    </r>
  </si>
  <si>
    <r>
      <t xml:space="preserve">3. Kompanija svaku transakciju proizvoda koja ostvaruje visok prihod ili se prodaje u velikoj količini svrstava u kategoriju “Premium”. Ako je prihod te transakcije veći od 500,000 RSD </t>
    </r>
    <r>
      <rPr>
        <b/>
        <sz val="11"/>
        <color theme="1"/>
        <rFont val="Aptos Narrow"/>
        <family val="2"/>
        <scheme val="minor"/>
      </rPr>
      <t>ili</t>
    </r>
    <r>
      <rPr>
        <sz val="11"/>
        <color theme="1"/>
        <rFont val="Aptos Narrow"/>
        <family val="2"/>
        <scheme val="minor"/>
      </rPr>
      <t xml:space="preserve"> je prodato više od 5 komada, u koloni H prikaži “Premium”, u suprotnom ćelija ostaje prazna</t>
    </r>
  </si>
  <si>
    <t>Funkcije za pretraživanje: VLOOKUP i XLOOKUP</t>
  </si>
  <si>
    <t>Menadžer odeljenja Vlookup</t>
  </si>
  <si>
    <t>Menažer odeljenja Xlookup</t>
  </si>
  <si>
    <t>1. U kolone G i H unesi menadžera odeljenja pomoću VLOOKUP i/ili XLOOKUP, koristeći naziv odeljenja iz Pomoćne tabele.</t>
  </si>
  <si>
    <t>INDEX i MATCH = ukrštanje reda i kolone za tačan rezultat</t>
  </si>
  <si>
    <t>=INDEX(opseg_iz_kog_uzimaš_vrednost, MATCH(vrednost_koju_traziš, opseg_gde_tražiš, 0))</t>
  </si>
  <si>
    <t>3.Zadatak:
Na osnovu prihoda za novembar, dodeliti bonus zaposlenima prema rasponu iz Pomoćne tabele</t>
  </si>
  <si>
    <t>1. Na osnovu prihoda za novembar, dodeliti bonus zaposlenima prema rasponu iz Pomoćne tabele</t>
  </si>
  <si>
    <t>⌘ + ⇧+ +</t>
  </si>
  <si>
    <t>2. Sortiraj kolonu B tako da identifikacioni brojevi budu poređani u rastućem nizu (od najmanjeg ka najvećem)</t>
  </si>
  <si>
    <r>
      <rPr>
        <b/>
        <sz val="11"/>
        <color theme="1"/>
        <rFont val="Aptos Narrow"/>
        <family val="2"/>
        <scheme val="minor"/>
      </rPr>
      <t xml:space="preserve">Format Cells (Ctrl+1) </t>
    </r>
    <r>
      <rPr>
        <sz val="11"/>
        <color theme="1"/>
        <rFont val="Aptos Narrow"/>
        <family val="2"/>
        <scheme val="minor"/>
      </rPr>
      <t>= menja izgled ćelija, brojeve, datume, font, boju i ivice</t>
    </r>
  </si>
  <si>
    <r>
      <rPr>
        <b/>
        <sz val="11"/>
        <color theme="1"/>
        <rFont val="Aptos Narrow"/>
        <family val="2"/>
        <scheme val="minor"/>
      </rPr>
      <t>Data Validation:</t>
    </r>
    <r>
      <rPr>
        <sz val="11"/>
        <color theme="1"/>
        <rFont val="Aptos Narrow"/>
        <family val="2"/>
        <scheme val="minor"/>
      </rPr>
      <t xml:space="preserve"> Kreiraj opadajući meni preko Data → Data Validation → List</t>
    </r>
  </si>
  <si>
    <r>
      <rPr>
        <b/>
        <sz val="11"/>
        <color theme="1"/>
        <rFont val="Aptos Narrow"/>
        <family val="2"/>
        <scheme val="minor"/>
      </rPr>
      <t>CAUNTA</t>
    </r>
    <r>
      <rPr>
        <sz val="11"/>
        <color theme="1"/>
        <rFont val="Aptos Narrow"/>
        <family val="2"/>
        <scheme val="minor"/>
      </rPr>
      <t xml:space="preserve"> = prebrojava sve ćelije koje nisu prazne, uključujući brojeve, tekst i mešavinu brojeva i slova</t>
    </r>
  </si>
  <si>
    <r>
      <rPr>
        <b/>
        <sz val="11"/>
        <color theme="1"/>
        <rFont val="Aptos Narrow"/>
        <family val="2"/>
        <scheme val="minor"/>
      </rPr>
      <t>COUNTIF</t>
    </r>
    <r>
      <rPr>
        <sz val="11"/>
        <color theme="1"/>
        <rFont val="Aptos Narrow"/>
        <family val="2"/>
        <scheme val="minor"/>
      </rPr>
      <t xml:space="preserve"> = broji ćelije koje ispunjavaju jedan određeni uslov (npr. sve ćelije veće od 10, ili koje sadrže određeni tekst)</t>
    </r>
  </si>
  <si>
    <r>
      <rPr>
        <b/>
        <sz val="11"/>
        <color theme="1"/>
        <rFont val="Aptos Narrow"/>
        <family val="2"/>
        <scheme val="minor"/>
      </rPr>
      <t>CAUNTIFS</t>
    </r>
    <r>
      <rPr>
        <sz val="11"/>
        <color theme="1"/>
        <rFont val="Aptos Narrow"/>
        <family val="2"/>
        <scheme val="minor"/>
      </rPr>
      <t xml:space="preserve"> = broji ćelije koje ispunjavaju više uslova istovremeno</t>
    </r>
  </si>
  <si>
    <r>
      <rPr>
        <b/>
        <sz val="11"/>
        <color theme="1"/>
        <rFont val="Aptos Narrow"/>
        <family val="2"/>
        <scheme val="minor"/>
      </rPr>
      <t>AVERAGEIF</t>
    </r>
    <r>
      <rPr>
        <sz val="11"/>
        <color theme="1"/>
        <rFont val="Aptos Narrow"/>
        <family val="2"/>
        <scheme val="minor"/>
      </rPr>
      <t xml:space="preserve"> – računa prosečnu vrednost ćelija koje zadovoljavaju jedan kriterijum</t>
    </r>
  </si>
  <si>
    <r>
      <rPr>
        <b/>
        <sz val="11"/>
        <color theme="1"/>
        <rFont val="Aptos Narrow"/>
        <family val="2"/>
        <scheme val="minor"/>
      </rPr>
      <t>AVERAGEIFS</t>
    </r>
    <r>
      <rPr>
        <sz val="11"/>
        <color theme="1"/>
        <rFont val="Aptos Narrow"/>
        <family val="2"/>
        <scheme val="minor"/>
      </rPr>
      <t xml:space="preserve"> = računa prosečnu vrednost ćelija koje zadovoljavaju više kriterijuma</t>
    </r>
  </si>
  <si>
    <r>
      <rPr>
        <b/>
        <sz val="11"/>
        <color theme="1"/>
        <rFont val="Aptos Narrow"/>
        <family val="2"/>
        <scheme val="minor"/>
      </rPr>
      <t>SUMIFS</t>
    </r>
    <r>
      <rPr>
        <sz val="11"/>
        <color theme="1"/>
        <rFont val="Aptos Narrow"/>
        <family val="2"/>
        <scheme val="minor"/>
      </rPr>
      <t xml:space="preserve"> – sabira vrednosti u ćelijama koje zadovoljavaju više kriterijuma</t>
    </r>
  </si>
  <si>
    <t>Sve prazne ćelije se označe i možemo ih vizuelno istaknuti bojanjem (kanticom)</t>
  </si>
  <si>
    <r>
      <t xml:space="preserve">Ovo može da obuhvati </t>
    </r>
    <r>
      <rPr>
        <b/>
        <sz val="11"/>
        <color theme="1"/>
        <rFont val="Aptos Narrow"/>
        <family val="2"/>
        <scheme val="minor"/>
      </rPr>
      <t>jednu kolonu</t>
    </r>
    <r>
      <rPr>
        <sz val="11"/>
        <color theme="1"/>
        <rFont val="Aptos Narrow"/>
        <family val="2"/>
        <scheme val="minor"/>
      </rPr>
      <t xml:space="preserve"> ili </t>
    </r>
    <r>
      <rPr>
        <b/>
        <sz val="11"/>
        <color theme="1"/>
        <rFont val="Aptos Narrow"/>
        <family val="2"/>
        <scheme val="minor"/>
      </rPr>
      <t>više kolona istovremeno</t>
    </r>
  </si>
  <si>
    <r>
      <rPr>
        <b/>
        <sz val="11"/>
        <color theme="1"/>
        <rFont val="Aptos Narrow"/>
        <family val="2"/>
        <scheme val="minor"/>
      </rPr>
      <t>INDEX</t>
    </r>
    <r>
      <rPr>
        <sz val="11"/>
        <color theme="1"/>
        <rFont val="Aptos Narrow"/>
        <family val="2"/>
        <scheme val="minor"/>
      </rPr>
      <t xml:space="preserve"> funkcija pronalazi i vraća sadržaj iz određene ćelije. Navodiš opseg pretrage i red/kolonu, a ona vraća vrednost</t>
    </r>
  </si>
  <si>
    <r>
      <rPr>
        <b/>
        <sz val="11"/>
        <color theme="1"/>
        <rFont val="Aptos Narrow"/>
        <family val="2"/>
        <scheme val="minor"/>
      </rPr>
      <t>MATCH</t>
    </r>
    <r>
      <rPr>
        <sz val="11"/>
        <color theme="1"/>
        <rFont val="Aptos Narrow"/>
        <family val="2"/>
        <scheme val="minor"/>
      </rPr>
      <t xml:space="preserve"> funkcija pronalazi redni broj tražene vrednosti u izabranom opsegu</t>
    </r>
  </si>
  <si>
    <r>
      <rPr>
        <b/>
        <sz val="11"/>
        <color theme="1"/>
        <rFont val="Aptos Narrow"/>
        <family val="2"/>
        <scheme val="minor"/>
      </rPr>
      <t>INDEX i MATCH</t>
    </r>
    <r>
      <rPr>
        <sz val="11"/>
        <color theme="1"/>
        <rFont val="Aptos Narrow"/>
        <family val="2"/>
        <scheme val="minor"/>
      </rPr>
      <t xml:space="preserve"> u kombinaciji: dok INDEX vraća sadržaj ćelije, MATCH ti kaže na kom mestu se ta vrednost nalazi</t>
    </r>
  </si>
  <si>
    <t>U kombinaciji, koriste se da pronađu i vrate tačan podatak iz tabele na osnovu zadatog kriterijuma</t>
  </si>
  <si>
    <t>Italy</t>
  </si>
  <si>
    <t>Amazon</t>
  </si>
  <si>
    <t>France</t>
  </si>
  <si>
    <t>WooCommerce</t>
  </si>
  <si>
    <t>UK</t>
  </si>
  <si>
    <t>Germany</t>
  </si>
  <si>
    <t>Canada</t>
  </si>
  <si>
    <t>eBay</t>
  </si>
  <si>
    <t>Shopify</t>
  </si>
  <si>
    <t>USA</t>
  </si>
  <si>
    <t>Spain</t>
  </si>
  <si>
    <t>Etsy</t>
  </si>
  <si>
    <t>CTR</t>
  </si>
  <si>
    <t>ROAS</t>
  </si>
  <si>
    <t>ACOS</t>
  </si>
  <si>
    <t>UrbanStyle</t>
  </si>
  <si>
    <t>GreenWave</t>
  </si>
  <si>
    <t>EcoHome</t>
  </si>
  <si>
    <t>KidsPlanet</t>
  </si>
  <si>
    <t>TikTok Shop</t>
  </si>
  <si>
    <t>FitLife</t>
  </si>
  <si>
    <t>ZenDecor</t>
  </si>
  <si>
    <t>Datum</t>
  </si>
  <si>
    <t>Klijent</t>
  </si>
  <si>
    <t>Platforma</t>
  </si>
  <si>
    <t>Država</t>
  </si>
  <si>
    <t>Prikazi</t>
  </si>
  <si>
    <t>Klikovi</t>
  </si>
  <si>
    <t>Sesije</t>
  </si>
  <si>
    <t>Konverzije</t>
  </si>
  <si>
    <t>Trošak oglasa</t>
  </si>
  <si>
    <t>Tim optimizovao</t>
  </si>
  <si>
    <t>Uputstvo za analitiku i automatizovan rad</t>
  </si>
  <si>
    <t>Sum of Prihod</t>
  </si>
  <si>
    <t>Sum of Konverzije</t>
  </si>
  <si>
    <t>Zadaci:</t>
  </si>
  <si>
    <r>
      <rPr>
        <b/>
        <sz val="11"/>
        <color theme="2" tint="-0.499984740745262"/>
        <rFont val="Aptos Narrow"/>
        <family val="2"/>
        <scheme val="minor"/>
      </rPr>
      <t>1. korak:</t>
    </r>
    <r>
      <rPr>
        <sz val="11"/>
        <color theme="2" tint="-0.499984740745262"/>
        <rFont val="Aptos Narrow"/>
        <family val="2"/>
        <scheme val="minor"/>
      </rPr>
      <t xml:space="preserve"> svi podaci u tabeli treba da su </t>
    </r>
    <r>
      <rPr>
        <b/>
        <sz val="11"/>
        <color theme="2" tint="-0.499984740745262"/>
        <rFont val="Aptos Narrow"/>
        <family val="2"/>
        <scheme val="minor"/>
      </rPr>
      <t>pravilno formatirani</t>
    </r>
    <r>
      <rPr>
        <sz val="11"/>
        <color theme="2" tint="-0.499984740745262"/>
        <rFont val="Aptos Narrow"/>
        <family val="2"/>
        <scheme val="minor"/>
      </rPr>
      <t xml:space="preserve"> (PREDUSLOV)</t>
    </r>
  </si>
  <si>
    <r>
      <rPr>
        <b/>
        <sz val="11"/>
        <color theme="2" tint="-0.499984740745262"/>
        <rFont val="Aptos Narrow"/>
        <family val="2"/>
        <scheme val="minor"/>
      </rPr>
      <t>2. korak:</t>
    </r>
    <r>
      <rPr>
        <sz val="11"/>
        <color theme="2" tint="-0.499984740745262"/>
        <rFont val="Aptos Narrow"/>
        <family val="2"/>
        <scheme val="minor"/>
      </rPr>
      <t xml:space="preserve"> profesionalna tabela treba da bude dinamička (Ctrl + T)</t>
    </r>
  </si>
  <si>
    <r>
      <rPr>
        <b/>
        <sz val="11"/>
        <color theme="2" tint="-0.499984740745262"/>
        <rFont val="Aptos Narrow"/>
        <family val="2"/>
        <scheme val="minor"/>
      </rPr>
      <t>3. korak</t>
    </r>
    <r>
      <rPr>
        <sz val="11"/>
        <color theme="2" tint="-0.499984740745262"/>
        <rFont val="Aptos Narrow"/>
        <family val="2"/>
        <scheme val="minor"/>
      </rPr>
      <t>: proveriti da tabela nema prazne redove ili kolone, kao i duplirane vrednosti, i da su svi podaci popunjeni</t>
    </r>
  </si>
  <si>
    <r>
      <rPr>
        <b/>
        <sz val="11"/>
        <color theme="2" tint="-0.499984740745262"/>
        <rFont val="Aptos Narrow"/>
        <family val="2"/>
        <scheme val="minor"/>
      </rPr>
      <t>4. korak:</t>
    </r>
    <r>
      <rPr>
        <sz val="11"/>
        <color theme="2" tint="-0.499984740745262"/>
        <rFont val="Aptos Narrow"/>
        <family val="2"/>
        <scheme val="minor"/>
      </rPr>
      <t xml:space="preserve"> idi na Sheet „Baza_podataka“ → Table Design → Table Name i nazovi tabelu „Baza_podataka“</t>
    </r>
  </si>
  <si>
    <r>
      <rPr>
        <b/>
        <sz val="11"/>
        <color theme="2" tint="-0.499984740745262"/>
        <rFont val="Aptos Narrow"/>
        <family val="2"/>
        <scheme val="minor"/>
      </rPr>
      <t>6. korak:</t>
    </r>
    <r>
      <rPr>
        <sz val="11"/>
        <color theme="2" tint="-0.499984740745262"/>
        <rFont val="Aptos Narrow"/>
        <family val="2"/>
        <scheme val="minor"/>
      </rPr>
      <t xml:space="preserve"> selektuj tabelu → Insert → PivotTable (prečica Alt + N + V) → Existing Worksheet → idi na Sheet „Izveštaj“ i klikni na ćeliju D6</t>
    </r>
  </si>
  <si>
    <r>
      <rPr>
        <b/>
        <sz val="11"/>
        <color theme="2" tint="-0.499984740745262"/>
        <rFont val="Aptos Narrow"/>
        <family val="2"/>
        <scheme val="minor"/>
      </rPr>
      <t xml:space="preserve">5. korak: </t>
    </r>
    <r>
      <rPr>
        <sz val="11"/>
        <color theme="2" tint="-0.499984740745262"/>
        <rFont val="Aptos Narrow"/>
        <family val="2"/>
        <scheme val="minor"/>
      </rPr>
      <t xml:space="preserve">postaviti </t>
    </r>
    <r>
      <rPr>
        <b/>
        <sz val="11"/>
        <color theme="2" tint="-0.499984740745262"/>
        <rFont val="Aptos Narrow"/>
        <family val="2"/>
        <scheme val="minor"/>
      </rPr>
      <t>ključna biznis pitanja</t>
    </r>
    <r>
      <rPr>
        <sz val="11"/>
        <color theme="2" tint="-0.499984740745262"/>
        <rFont val="Aptos Narrow"/>
        <family val="2"/>
        <scheme val="minor"/>
      </rPr>
      <t>:koji je cilj analize i šta želite da dobijete na kraju</t>
    </r>
  </si>
  <si>
    <t>1. Odrediti top 3 klijenta koji donose najveći prihod</t>
  </si>
  <si>
    <t>Ove metrike koristimo da analiziramo koji klijenti, kampanje i platforme donose najveći prihod, koje kampanje treba optimizovati, i kako se trošak oglasa odnosi na profit.</t>
  </si>
  <si>
    <t>Tabela o performansama klijenata i kampanja</t>
  </si>
  <si>
    <t xml:space="preserve">Pratimo sledeće ključne metrike: Platforma – preko koje se ostvaruju prodaje i kampanje; Prikazi (Impressions) – koliko puta je oglas prikazan; Klikovi (Clicks) – koliko puta su korisnici kliknuli na oglas; Sesije (Sessions) – broj poseta sajtu ili prodavnici; Konverzije (Conversions) – broj uspešnih kupovina; Prihod (Revenue) – iznos prihoda po klijentu ili kampanji; Trošak oglasa (AdSpend) – koliko je potrošeno na oglas; Tim optimizovao (OptimizedByTeam) – pokazuje da li je naš tim izvršio optimizaciju kampanje; CTR (Click-Through Rate) – stopa klikanja oglasa; ROAS (Return on Ad Spend) – povraćaj ulaganja u oglas; i ACOS (Advertising Cost of Sale) – trošak oglasa po prodaji. </t>
  </si>
  <si>
    <r>
      <t xml:space="preserve">• Prevucite </t>
    </r>
    <r>
      <rPr>
        <b/>
        <sz val="11"/>
        <color theme="1"/>
        <rFont val="Aptos Narrow"/>
        <family val="2"/>
        <scheme val="minor"/>
      </rPr>
      <t>Prihod</t>
    </r>
    <r>
      <rPr>
        <sz val="11"/>
        <color theme="1"/>
        <rFont val="Aptos Narrow"/>
        <family val="2"/>
        <scheme val="minor"/>
      </rPr>
      <t xml:space="preserve"> u </t>
    </r>
    <r>
      <rPr>
        <b/>
        <i/>
        <sz val="11"/>
        <color theme="1"/>
        <rFont val="Aptos Narrow"/>
        <family val="2"/>
        <scheme val="minor"/>
      </rPr>
      <t>Values</t>
    </r>
    <r>
      <rPr>
        <sz val="11"/>
        <color theme="1"/>
        <rFont val="Aptos Narrow"/>
        <family val="2"/>
        <scheme val="minor"/>
      </rPr>
      <t xml:space="preserve"> (Sum), a </t>
    </r>
    <r>
      <rPr>
        <b/>
        <sz val="11"/>
        <color theme="1"/>
        <rFont val="Aptos Narrow"/>
        <family val="2"/>
        <scheme val="minor"/>
      </rPr>
      <t>Klijent</t>
    </r>
    <r>
      <rPr>
        <sz val="11"/>
        <color theme="1"/>
        <rFont val="Aptos Narrow"/>
        <family val="2"/>
        <scheme val="minor"/>
      </rPr>
      <t xml:space="preserve"> u </t>
    </r>
    <r>
      <rPr>
        <b/>
        <i/>
        <sz val="11"/>
        <color theme="1"/>
        <rFont val="Aptos Narrow"/>
        <family val="2"/>
        <scheme val="minor"/>
      </rPr>
      <t>Rows</t>
    </r>
    <r>
      <rPr>
        <sz val="11"/>
        <color theme="1"/>
        <rFont val="Aptos Narrow"/>
        <family val="2"/>
        <scheme val="minor"/>
      </rPr>
      <t>.</t>
    </r>
  </si>
  <si>
    <t>• Na Pivot tabeli kliknite na dugme Filter kod Row Labels → Value Filters → Top 10 → unesite 3 i izaberite Sum of Prihod</t>
  </si>
  <si>
    <t>• Zatim kliknite na dugme Filter kod „Row Labels“, izaberite „More Sort Options“, odaberite „Descending (Z to A)“, a potom u padajućem meniju izaberite „Sum of Prihod“, kako bi se najveći prihodi prikazali na početku</t>
  </si>
  <si>
    <t>• Selektujete Pivot tabelu (Ctrl + A), pritisnite Alt + F1  da ubacite grafikon, zatim ga isečete (Ctrl + X), odete na sheet „Dashboard“ i nalepite (Ctrl + V)</t>
  </si>
  <si>
    <t>Zadatak 2: Odrediti top 3 platforme koje donose najveći prihod</t>
  </si>
  <si>
    <t>Zadatak 3: Odrediti top 5 država koje donose najveći prihod</t>
  </si>
  <si>
    <t>•  Kreirajte Pivot tabelu u ćeliji J6</t>
  </si>
  <si>
    <t>• Selektujte izvornu tabelu, kreirajte Pivot tabelu u sheet „Izveštaj“ u ćeliji G6, prevucite Platforma u Redovi (Rows), Prihod u Vrednosti (Values, Sum) i primenite Top 3 filter da se prikažu platforme sa najvećim prihodima</t>
  </si>
  <si>
    <t>Zadatak 4: Odrediti ukupne konverzije po platformi</t>
  </si>
  <si>
    <t xml:space="preserve">• Napravite Pivot tabelu (M6) tako što ćete staviti Platformu u polje Redovi (Rows), a Konverzije u polje Vrednosti (Values, Sum) </t>
  </si>
  <si>
    <t>Average of ROAS</t>
  </si>
  <si>
    <t>Zadatak 5: Izračunati koja platforma ima najbolji ROAS (Return on Ad Spend)</t>
  </si>
  <si>
    <t>• Napravite Pivot tabelu (D18), prevucite Platforma u Rows, a ROAS u Values (Average)</t>
  </si>
  <si>
    <t>Qtr1</t>
  </si>
  <si>
    <t>Zadatak 6: Prikazati kretanje prihoda po kvartalima</t>
  </si>
  <si>
    <t>• Kreirajte Pivot tabelu u ćeliji G18, prevucite Datum u Rows, Prihod u Values (Sum), zatim u Pivot Table Analyze odaberite Group Field i grupišite po kvartalima</t>
  </si>
  <si>
    <t>• Pivot grafikon postavite kao Line chart</t>
  </si>
  <si>
    <t>Timeline će omogućiti da filtrirate sve povezane Pivot tabele i grafikone po datumima</t>
  </si>
  <si>
    <r>
      <rPr>
        <b/>
        <sz val="11"/>
        <color theme="2" tint="-0.499984740745262"/>
        <rFont val="Aptos Narrow"/>
        <family val="2"/>
        <scheme val="minor"/>
      </rPr>
      <t>8. korak:</t>
    </r>
    <r>
      <rPr>
        <sz val="11"/>
        <color theme="2" tint="-0.499984740745262"/>
        <rFont val="Aptos Narrow"/>
        <family val="2"/>
        <scheme val="minor"/>
      </rPr>
      <t xml:space="preserve"> Dodavanje slicera</t>
    </r>
  </si>
  <si>
    <r>
      <rPr>
        <b/>
        <sz val="11"/>
        <color theme="2" tint="-0.499984740745262"/>
        <rFont val="Aptos Narrow"/>
        <family val="2"/>
        <scheme val="minor"/>
      </rPr>
      <t>9. korak:</t>
    </r>
    <r>
      <rPr>
        <sz val="11"/>
        <color theme="2" tint="-0.499984740745262"/>
        <rFont val="Aptos Narrow"/>
        <family val="2"/>
        <scheme val="minor"/>
      </rPr>
      <t xml:space="preserve"> Povezivanje slicera sa više Pivot tabela</t>
    </r>
  </si>
  <si>
    <r>
      <t xml:space="preserve">Da bi jedan slicer uticao na više Pivot tabela, potrebno je koristiti </t>
    </r>
    <r>
      <rPr>
        <b/>
        <sz val="11"/>
        <color theme="2" tint="-0.499984740745262"/>
        <rFont val="Aptos Narrow"/>
        <family val="2"/>
        <scheme val="minor"/>
      </rPr>
      <t>Report Connections</t>
    </r>
    <r>
      <rPr>
        <sz val="11"/>
        <color theme="2" tint="-0.499984740745262"/>
        <rFont val="Aptos Narrow"/>
        <family val="2"/>
        <scheme val="minor"/>
      </rPr>
      <t>. Kliknite desnim tasterom miša na slicer → Report Connections → čekirajte sve Pivot tabele koje želite da budu povezane sa tim slicerom. Ponovite postupak za svaki slicer, kako bi svi filtrirali sve povezane Pivot tabele i grafikone na dashboardu</t>
    </r>
  </si>
  <si>
    <r>
      <rPr>
        <b/>
        <sz val="11"/>
        <color theme="2" tint="-0.499984740745262"/>
        <rFont val="Aptos Narrow"/>
        <family val="2"/>
        <scheme val="minor"/>
      </rPr>
      <t>7. korak:</t>
    </r>
    <r>
      <rPr>
        <sz val="11"/>
        <color theme="2" tint="-0.499984740745262"/>
        <rFont val="Aptos Narrow"/>
        <family val="2"/>
        <scheme val="minor"/>
      </rPr>
      <t xml:space="preserve"> Kliknite na bilo koji Pivot grafikon na dashboardu, pojaviće se kartica PivotTable Analyze → </t>
    </r>
    <r>
      <rPr>
        <b/>
        <sz val="11"/>
        <color theme="2" tint="-0.499984740745262"/>
        <rFont val="Aptos Narrow"/>
        <family val="2"/>
        <scheme val="minor"/>
      </rPr>
      <t>Insert Timeline</t>
    </r>
    <r>
      <rPr>
        <sz val="11"/>
        <color theme="2" tint="-0.499984740745262"/>
        <rFont val="Aptos Narrow"/>
        <family val="2"/>
        <scheme val="minor"/>
      </rPr>
      <t xml:space="preserve"> → čekirajte Datum</t>
    </r>
  </si>
  <si>
    <r>
      <t xml:space="preserve">9. korak: </t>
    </r>
    <r>
      <rPr>
        <b/>
        <sz val="11"/>
        <color rgb="FFFF7575"/>
        <rFont val="Aptos Narrow"/>
        <family val="2"/>
        <scheme val="minor"/>
      </rPr>
      <t>Čestitamo! 🎉</t>
    </r>
  </si>
  <si>
    <r>
      <rPr>
        <b/>
        <sz val="11"/>
        <color theme="2" tint="-0.499984740745262"/>
        <rFont val="Aptos Narrow"/>
        <family val="2"/>
        <scheme val="minor"/>
      </rPr>
      <t xml:space="preserve">10. korak: </t>
    </r>
    <r>
      <rPr>
        <sz val="11"/>
        <color theme="2" tint="-0.499984740745262"/>
        <rFont val="Aptos Narrow"/>
        <family val="2"/>
        <scheme val="minor"/>
      </rPr>
      <t>Analiza i donošenje odluka</t>
    </r>
  </si>
  <si>
    <t>Otvorite sheet „Operativna_analiza" i diskutujte o tome koje odluke možete doneti na osnovu podataka sa dashboarda</t>
  </si>
  <si>
    <t>Uspešno ste napravili svoj prvi dashboard. Svi sliceri i Pivot grafikoni su povezani i spremni za analizu podataka</t>
  </si>
  <si>
    <r>
      <t xml:space="preserve">Sliceri služe kao vizuelni filteri. Kliknite na bilo koji Pivot grafikon, otvoriće se kartica PivotTable Analyze → </t>
    </r>
    <r>
      <rPr>
        <b/>
        <sz val="11"/>
        <color theme="2" tint="-0.499984740745262"/>
        <rFont val="Aptos Narrow"/>
        <family val="2"/>
        <scheme val="minor"/>
      </rPr>
      <t>Insert Slicer</t>
    </r>
    <r>
      <rPr>
        <sz val="11"/>
        <color theme="2" tint="-0.499984740745262"/>
        <rFont val="Aptos Narrow"/>
        <family val="2"/>
        <scheme val="minor"/>
      </rPr>
      <t>. Zatim odaberite Klijent, Platforma i Tim optimizovao</t>
    </r>
  </si>
  <si>
    <t>PivotData</t>
  </si>
  <si>
    <t>Diskusija i donošenje odluka</t>
  </si>
  <si>
    <t>Koji klijenti donose najveći prihod i gde možemo povećati prodaju?</t>
  </si>
  <si>
    <t>Najveći prihod: ZenDecor, FitLife, GreenWave. Manji klijenti imaju slabiji učinak.</t>
  </si>
  <si>
    <t>Fokusirati upsell i nove kampanje na top klijente; istražiti slabije klijente za rast.</t>
  </si>
  <si>
    <t>Koje platforme ostvaruju najbolji ROAS i da li treba optimizovati ostale?</t>
  </si>
  <si>
    <t>Najbolji ROAS: TikTok Shop, Amazon, WooCommerce. Najveći prihod: eBay, Etsy, TikTok Shop.</t>
  </si>
  <si>
    <t>Zadržati TikTok Shop; povećati ulaganja u Amazon/WooCommerce; optimizovati eBay i Etsy kampanje.</t>
  </si>
  <si>
    <t>Koje države su najprofitabilnije, a gde postoji prostor za poboljšanje?</t>
  </si>
  <si>
    <t>Najprofitabilnije: Germany, France, UK. Italija ima najniži prihod među top 5.</t>
  </si>
  <si>
    <t>Održati fokus na profitabilne države; istražiti Italiju za dodatne prilike.</t>
  </si>
  <si>
    <t>Koji kvartali ili meseci su kritični za prihod i kako planirati kampanje?</t>
  </si>
  <si>
    <t>Trend pokazuje varijacije po kvartalima (npr. slabiji Q2/Q3).</t>
  </si>
  <si>
    <t>Pojačati kampanje u slabijim kvartalima; planirati budžet prema sezonalnosti.</t>
  </si>
  <si>
    <t>Analiza podataka:</t>
  </si>
  <si>
    <t>Operativna odluka:</t>
  </si>
  <si>
    <t>1. Pitanje:</t>
  </si>
  <si>
    <t>2. Pitanje:</t>
  </si>
  <si>
    <t>3. Pitanje:</t>
  </si>
  <si>
    <t>4. Pitanje:</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</si>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</sst>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4" formatCode="_(&quot;$&quot;* #,##0.00_);_(&quot;$&quot;* \(#,##0.00\);_(&quot;$&quot;* &quot;-&quot;??_);_(@_)"/>
    <numFmt numFmtId="164" formatCode="000"/>
    <numFmt numFmtId="165" formatCode="&quot;$&quot;#,##0.00"/>
    <numFmt numFmtId="166" formatCode="_([$€-2]\ * #,##0_);_([$€-2]\ * \(#,##0\);_([$€-2]\ * &quot;-&quot;_);_(@_)"/>
    <numFmt numFmtId="167" formatCode="0.0000"/>
    <numFmt numFmtId="168" formatCode="_([$€-2]\ * #,##0.000_);_([$€-2]\ * \(#,##0.000\);_([$€-2]\ * &quot;-&quot;???_);_(@_)"/>
  </numFmts>
  <fonts count="37" x14ac:knownFonts="1">
    <font>
      <sz val="11"/>
      <color theme="1"/>
      <name val="Aptos Narrow"/>
      <family val="2"/>
      <scheme val="minor"/>
    </font>
    <font>
      <sz val="11"/>
      <color rgb="FF3F3F76"/>
      <name val="Aptos Narrow"/>
      <family val="2"/>
      <scheme val="minor"/>
    </font>
    <font>
      <sz val="11"/>
      <color rgb="FF006100"/>
      <name val="Aptos Narrow"/>
      <family val="2"/>
      <scheme val="minor"/>
    </font>
    <font>
      <b/>
      <sz val="11"/>
      <color theme="1"/>
      <name val="Aptos Narrow"/>
      <family val="2"/>
      <scheme val="minor"/>
    </font>
    <font>
      <sz val="20"/>
      <color rgb="FF004D3A"/>
      <name val="Aptos Narrow"/>
      <family val="2"/>
      <scheme val="minor"/>
    </font>
    <font>
      <sz val="11"/>
      <color theme="1"/>
      <name val="BatangChe"/>
      <family val="3"/>
      <charset val="129"/>
    </font>
    <font>
      <sz val="12"/>
      <color theme="1"/>
      <name val="Tw Cen MT"/>
      <family val="2"/>
    </font>
    <font>
      <sz val="12"/>
      <color theme="2" tint="-0.499984740745262"/>
      <name val="Tw Cen MT"/>
      <family val="2"/>
    </font>
    <font>
      <b/>
      <sz val="24"/>
      <color rgb="FF004D3A"/>
      <name val="Aptos Narrow"/>
      <family val="2"/>
      <scheme val="minor"/>
    </font>
    <font>
      <u/>
      <sz val="14"/>
      <color rgb="FF0000FF"/>
      <name val="Arial"/>
      <family val="2"/>
    </font>
    <font>
      <b/>
      <sz val="16"/>
      <color theme="9" tint="-0.499984740745262"/>
      <name val="Aptos Narrow"/>
      <family val="2"/>
      <scheme val="minor"/>
    </font>
    <font>
      <b/>
      <sz val="16"/>
      <color theme="6" tint="0.39997558519241921"/>
      <name val="Aptos Narrow"/>
      <family val="2"/>
    </font>
    <font>
      <sz val="11"/>
      <color theme="1"/>
      <name val="Aptos Narrow"/>
      <family val="2"/>
      <scheme val="minor"/>
    </font>
    <font>
      <sz val="11"/>
      <color rgb="FF9C5700"/>
      <name val="Aptos Narrow"/>
      <family val="2"/>
      <scheme val="minor"/>
    </font>
    <font>
      <b/>
      <sz val="11"/>
      <color rgb="FF3F3F3F"/>
      <name val="Aptos Narrow"/>
      <family val="2"/>
      <scheme val="minor"/>
    </font>
    <font>
      <b/>
      <sz val="11"/>
      <color theme="0"/>
      <name val="Aptos Narrow"/>
      <family val="2"/>
      <scheme val="minor"/>
    </font>
    <font>
      <sz val="11"/>
      <color theme="0"/>
      <name val="Aptos Narrow"/>
      <family val="2"/>
      <scheme val="minor"/>
    </font>
    <font>
      <b/>
      <sz val="11"/>
      <color rgb="FF006100"/>
      <name val="Aptos Narrow"/>
      <family val="2"/>
      <scheme val="minor"/>
    </font>
    <font>
      <sz val="11"/>
      <color rgb="FF3F3F3F"/>
      <name val="Aptos Narrow"/>
      <family val="2"/>
      <scheme val="minor"/>
    </font>
    <font>
      <b/>
      <sz val="12"/>
      <color theme="1"/>
      <name val="Aptos Narrow"/>
      <family val="2"/>
      <scheme val="minor"/>
    </font>
    <font>
      <b/>
      <sz val="14"/>
      <color theme="1"/>
      <name val="Aptos Narrow"/>
      <family val="2"/>
      <scheme val="minor"/>
    </font>
    <font>
      <b/>
      <sz val="14"/>
      <color theme="0"/>
      <name val="Aptos Narrow"/>
      <family val="2"/>
      <scheme val="minor"/>
    </font>
    <font>
      <sz val="11"/>
      <color theme="0" tint="-0.34998626667073579"/>
      <name val="Aptos Narrow"/>
      <family val="2"/>
      <scheme val="minor"/>
    </font>
    <font>
      <sz val="12"/>
      <color theme="1"/>
      <name val="Aptos Narrow"/>
      <family val="2"/>
      <scheme val="minor"/>
    </font>
    <font>
      <sz val="8"/>
      <name val="Aptos Narrow"/>
      <family val="2"/>
      <scheme val="minor"/>
    </font>
    <font>
      <b/>
      <sz val="11"/>
      <color rgb="FF9C5700"/>
      <name val="Aptos Narrow"/>
      <family val="2"/>
      <scheme val="minor"/>
    </font>
    <font>
      <b/>
      <sz val="11"/>
      <color rgb="FFFA7D00"/>
      <name val="Aptos Narrow"/>
      <family val="2"/>
      <scheme val="minor"/>
    </font>
    <font>
      <sz val="11"/>
      <color rgb="FFFA7D00"/>
      <name val="Aptos Narrow"/>
      <family val="2"/>
      <scheme val="minor"/>
    </font>
    <font>
      <b/>
      <sz val="11"/>
      <color rgb="FF3F3F76"/>
      <name val="Aptos Narrow"/>
      <family val="2"/>
      <scheme val="minor"/>
    </font>
    <font>
      <sz val="11"/>
      <color theme="0" tint="-0.499984740745262"/>
      <name val="Aptos Narrow"/>
      <family val="2"/>
      <scheme val="minor"/>
    </font>
    <font>
      <u/>
      <sz val="11"/>
      <color theme="1"/>
      <name val="Aptos Narrow"/>
      <family val="2"/>
      <scheme val="minor"/>
    </font>
    <font>
      <b/>
      <sz val="14"/>
      <color rgb="FFFA7D00"/>
      <name val="Aptos Narrow"/>
      <family val="2"/>
      <scheme val="minor"/>
    </font>
    <font>
      <b/>
      <sz val="11"/>
      <color theme="4"/>
      <name val="Aptos Narrow"/>
      <family val="2"/>
      <scheme val="minor"/>
    </font>
    <font>
      <sz val="11"/>
      <color theme="2" tint="-0.499984740745262"/>
      <name val="Aptos Narrow"/>
      <family val="2"/>
      <scheme val="minor"/>
    </font>
    <font>
      <b/>
      <i/>
      <sz val="11"/>
      <color theme="1"/>
      <name val="Aptos Narrow"/>
      <family val="2"/>
      <scheme val="minor"/>
    </font>
    <font>
      <b/>
      <sz val="11"/>
      <color theme="2" tint="-0.499984740745262"/>
      <name val="Aptos Narrow"/>
      <family val="2"/>
      <scheme val="minor"/>
    </font>
    <font>
      <b/>
      <sz val="11"/>
      <color rgb="FFFF7575"/>
      <name val="Aptos Narrow"/>
      <family val="2"/>
      <scheme val="minor"/>
    </font>
  </fonts>
  <fills count="22">
    <fill>
      <patternFill patternType="none"/>
    </fill>
    <fill>
      <patternFill patternType="gray125"/>
    </fill>
    <fill>
      <patternFill patternType="solid">
        <fgColor rgb="FFFFCC99"/>
      </patternFill>
    </fill>
    <fill>
      <patternFill patternType="solid">
        <fgColor rgb="FFC6EFCE"/>
      </patternFill>
    </fill>
    <fill>
      <patternFill patternType="solid">
        <fgColor theme="0" tint="-4.9989318521683403E-2"/>
        <bgColor indexed="64"/>
      </patternFill>
    </fill>
    <fill>
      <patternFill patternType="solid">
        <fgColor theme="2"/>
        <bgColor indexed="64"/>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7"/>
      </patternFill>
    </fill>
    <fill>
      <patternFill patternType="solid">
        <fgColor theme="7" tint="0.79998168889431442"/>
        <bgColor indexed="65"/>
      </patternFill>
    </fill>
    <fill>
      <patternFill patternType="solid">
        <fgColor theme="9" tint="0.79998168889431442"/>
        <bgColor indexed="64"/>
      </patternFill>
    </fill>
    <fill>
      <patternFill patternType="solid">
        <fgColor theme="9" tint="0.79998168889431442"/>
        <bgColor indexed="65"/>
      </patternFill>
    </fill>
    <fill>
      <patternFill patternType="solid">
        <fgColor rgb="FFFEF8EC"/>
        <bgColor indexed="64"/>
      </patternFill>
    </fill>
    <fill>
      <patternFill patternType="solid">
        <fgColor theme="0"/>
        <bgColor indexed="64"/>
      </patternFill>
    </fill>
    <fill>
      <patternFill patternType="solid">
        <fgColor theme="8" tint="0.79998168889431442"/>
        <bgColor indexed="64"/>
      </patternFill>
    </fill>
    <fill>
      <patternFill patternType="solid">
        <fgColor theme="5" tint="0.59999389629810485"/>
        <bgColor indexed="65"/>
      </patternFill>
    </fill>
    <fill>
      <patternFill patternType="solid">
        <fgColor theme="6"/>
      </patternFill>
    </fill>
    <fill>
      <patternFill patternType="solid">
        <fgColor theme="7" tint="0.59999389629810485"/>
        <bgColor indexed="65"/>
      </patternFill>
    </fill>
    <fill>
      <patternFill patternType="solid">
        <fgColor theme="8"/>
      </patternFill>
    </fill>
    <fill>
      <patternFill patternType="solid">
        <fgColor theme="2" tint="-0.499984740745262"/>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right/>
      <top/>
      <bottom style="dotted">
        <color indexed="64"/>
      </bottom>
      <diagonal/>
    </border>
    <border>
      <left/>
      <right style="dotted">
        <color indexed="64"/>
      </right>
      <top style="dotted">
        <color indexed="64"/>
      </top>
      <bottom/>
      <diagonal/>
    </border>
    <border>
      <left/>
      <right style="dotted">
        <color indexed="64"/>
      </right>
      <top/>
      <bottom/>
      <diagonal/>
    </border>
    <border>
      <left/>
      <right style="dotted">
        <color indexed="64"/>
      </right>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
      <left style="dotted">
        <color indexed="64"/>
      </left>
      <right/>
      <top style="dotted">
        <color indexed="64"/>
      </top>
      <bottom/>
      <diagonal/>
    </border>
    <border>
      <left style="dotted">
        <color indexed="64"/>
      </left>
      <right/>
      <top/>
      <bottom style="dotted">
        <color indexed="64"/>
      </bottom>
      <diagonal/>
    </border>
    <border>
      <left style="thin">
        <color indexed="64"/>
      </left>
      <right style="dotted">
        <color indexed="64"/>
      </right>
      <top/>
      <bottom style="dotted">
        <color indexed="64"/>
      </bottom>
      <diagonal/>
    </border>
    <border>
      <left style="dotted">
        <color indexed="64"/>
      </left>
      <right/>
      <top style="dotted">
        <color indexed="64"/>
      </top>
      <bottom style="thin">
        <color indexed="64"/>
      </bottom>
      <diagonal/>
    </border>
    <border>
      <left/>
      <right style="dotted">
        <color indexed="64"/>
      </right>
      <top style="dotted">
        <color indexed="64"/>
      </top>
      <bottom style="thin">
        <color indexed="64"/>
      </bottom>
      <diagonal/>
    </border>
    <border>
      <left/>
      <right style="dotted">
        <color indexed="64"/>
      </right>
      <top/>
      <bottom style="thin">
        <color indexed="64"/>
      </bottom>
      <diagonal/>
    </border>
    <border>
      <left/>
      <right style="dotted">
        <color indexed="64"/>
      </right>
      <top style="thin">
        <color rgb="FFB2B2B2"/>
      </top>
      <bottom style="thin">
        <color rgb="FF3F3F3F"/>
      </bottom>
      <diagonal/>
    </border>
    <border>
      <left/>
      <right style="dotted">
        <color indexed="64"/>
      </right>
      <top style="thin">
        <color rgb="FF3F3F3F"/>
      </top>
      <bottom/>
      <diagonal/>
    </border>
    <border>
      <left style="dotted">
        <color indexed="64"/>
      </left>
      <right/>
      <top/>
      <bottom/>
      <diagonal/>
    </border>
    <border>
      <left style="thin">
        <color rgb="FFB2B2B2"/>
      </left>
      <right style="dotted">
        <color indexed="64"/>
      </right>
      <top style="thin">
        <color indexed="64"/>
      </top>
      <bottom style="dotted">
        <color indexed="64"/>
      </bottom>
      <diagonal/>
    </border>
    <border>
      <left style="dotted">
        <color indexed="64"/>
      </left>
      <right/>
      <top style="dotted">
        <color indexed="64"/>
      </top>
      <bottom style="dotted">
        <color indexed="64"/>
      </bottom>
      <diagonal/>
    </border>
    <border>
      <left style="dotted">
        <color indexed="64"/>
      </left>
      <right style="thin">
        <color rgb="FFB2B2B2"/>
      </right>
      <top/>
      <bottom style="dotted">
        <color indexed="64"/>
      </bottom>
      <diagonal/>
    </border>
    <border>
      <left style="thin">
        <color rgb="FFB2B2B2"/>
      </left>
      <right style="thin">
        <color rgb="FFB2B2B2"/>
      </right>
      <top/>
      <bottom style="dotted">
        <color indexed="64"/>
      </bottom>
      <diagonal/>
    </border>
    <border>
      <left/>
      <right/>
      <top style="dotted">
        <color indexed="64"/>
      </top>
      <bottom style="dotted">
        <color indexed="64"/>
      </bottom>
      <diagonal/>
    </border>
    <border>
      <left/>
      <right/>
      <top style="dotted">
        <color indexed="64"/>
      </top>
      <bottom/>
      <diagonal/>
    </border>
    <border>
      <left style="dotted">
        <color indexed="64"/>
      </left>
      <right style="dotted">
        <color indexed="64"/>
      </right>
      <top/>
      <bottom/>
      <diagonal/>
    </border>
    <border>
      <left style="dotted">
        <color indexed="64"/>
      </left>
      <right style="thin">
        <color indexed="64"/>
      </right>
      <top/>
      <bottom style="dotted">
        <color indexed="64"/>
      </bottom>
      <diagonal/>
    </border>
    <border>
      <left/>
      <right style="dotted">
        <color indexed="64"/>
      </right>
      <top style="dotted">
        <color indexed="64"/>
      </top>
      <bottom style="dotted">
        <color indexed="64"/>
      </bottom>
      <diagonal/>
    </border>
    <border>
      <left style="thin">
        <color rgb="FF7F7F7F"/>
      </left>
      <right style="thin">
        <color indexed="64"/>
      </right>
      <top style="thin">
        <color rgb="FF7F7F7F"/>
      </top>
      <bottom/>
      <diagonal/>
    </border>
    <border>
      <left style="thin">
        <color rgb="FF7F7F7F"/>
      </left>
      <right style="thin">
        <color indexed="64"/>
      </right>
      <top/>
      <bottom style="thin">
        <color rgb="FF7F7F7F"/>
      </bottom>
      <diagonal/>
    </border>
    <border>
      <left style="thin">
        <color rgb="FF7F7F7F"/>
      </left>
      <right/>
      <top style="thin">
        <color rgb="FF7F7F7F"/>
      </top>
      <bottom style="thin">
        <color rgb="FF7F7F7F"/>
      </bottom>
      <diagonal/>
    </border>
    <border>
      <left/>
      <right/>
      <top style="double">
        <color theme="4"/>
      </top>
      <bottom/>
      <diagonal/>
    </border>
    <border>
      <left/>
      <right/>
      <top/>
      <bottom style="double">
        <color rgb="FFFF8001"/>
      </bottom>
      <diagonal/>
    </border>
    <border>
      <left style="thin">
        <color rgb="FF7F7F7F"/>
      </left>
      <right style="thin">
        <color rgb="FF7F7F7F"/>
      </right>
      <top style="thin">
        <color rgb="FF7F7F7F"/>
      </top>
      <bottom/>
      <diagonal/>
    </border>
  </borders>
  <cellStyleXfs count="16">
    <xf numFmtId="0" fontId="0" fillId="0" borderId="0"/>
    <xf numFmtId="0" fontId="1" fillId="2" borderId="2" applyNumberFormat="0" applyAlignment="0" applyProtection="0"/>
    <xf numFmtId="0" fontId="2" fillId="3" borderId="0" applyNumberFormat="0" applyBorder="0" applyAlignment="0" applyProtection="0"/>
    <xf numFmtId="0" fontId="13" fillId="6" borderId="0" applyNumberFormat="0" applyBorder="0" applyAlignment="0" applyProtection="0"/>
    <xf numFmtId="0" fontId="14" fillId="7" borderId="11" applyNumberFormat="0" applyAlignment="0" applyProtection="0"/>
    <xf numFmtId="0" fontId="15" fillId="8" borderId="12" applyNumberFormat="0" applyAlignment="0" applyProtection="0"/>
    <xf numFmtId="0" fontId="12" fillId="9" borderId="13" applyNumberFormat="0" applyFont="0" applyAlignment="0" applyProtection="0"/>
    <xf numFmtId="0" fontId="3" fillId="0" borderId="14" applyNumberFormat="0" applyFill="0" applyAlignment="0" applyProtection="0"/>
    <xf numFmtId="0" fontId="16" fillId="10" borderId="0" applyNumberFormat="0" applyBorder="0" applyAlignment="0" applyProtection="0"/>
    <xf numFmtId="0" fontId="12" fillId="11" borderId="0" applyNumberFormat="0" applyBorder="0" applyAlignment="0" applyProtection="0"/>
    <xf numFmtId="0" fontId="27" fillId="0" borderId="49" applyNumberFormat="0" applyFill="0" applyAlignment="0" applyProtection="0"/>
    <xf numFmtId="0" fontId="12" fillId="13" borderId="0" applyNumberFormat="0" applyBorder="0" applyAlignment="0" applyProtection="0"/>
    <xf numFmtId="0" fontId="12" fillId="17" borderId="0" applyNumberFormat="0" applyBorder="0" applyAlignment="0" applyProtection="0"/>
    <xf numFmtId="0" fontId="16" fillId="18" borderId="0" applyNumberFormat="0" applyBorder="0" applyAlignment="0" applyProtection="0"/>
    <xf numFmtId="0" fontId="12" fillId="19" borderId="0" applyNumberFormat="0" applyBorder="0" applyAlignment="0" applyProtection="0"/>
    <xf numFmtId="0" fontId="16" fillId="20" borderId="0" applyNumberFormat="0" applyBorder="0" applyAlignment="0" applyProtection="0"/>
  </cellStyleXfs>
  <cellXfs count="231">
    <xf numFmtId="0" fontId="0" fillId="0" borderId="0" xfId="0"/>
    <xf numFmtId="0" fontId="0" fillId="0" borderId="1" xfId="0" applyBorder="1"/>
    <xf numFmtId="164" fontId="0" fillId="0" borderId="1" xfId="0" applyNumberFormat="1" applyBorder="1"/>
    <xf numFmtId="1" fontId="0" fillId="0" borderId="1" xfId="0" applyNumberFormat="1" applyBorder="1"/>
    <xf numFmtId="14" fontId="0" fillId="0" borderId="1" xfId="0" applyNumberFormat="1" applyBorder="1"/>
    <xf numFmtId="0" fontId="0" fillId="0" borderId="0" xfId="0" pivotButton="1"/>
    <xf numFmtId="0" fontId="0" fillId="0" borderId="0" xfId="0" applyAlignment="1">
      <alignment horizontal="left"/>
    </xf>
    <xf numFmtId="0" fontId="0" fillId="4" borderId="0" xfId="0" applyFill="1"/>
    <xf numFmtId="0" fontId="0" fillId="0" borderId="3" xfId="0" applyBorder="1"/>
    <xf numFmtId="0" fontId="0" fillId="0" borderId="4" xfId="0" applyBorder="1"/>
    <xf numFmtId="0" fontId="0" fillId="0" borderId="8" xfId="0" applyBorder="1"/>
    <xf numFmtId="0" fontId="0" fillId="0" borderId="10" xfId="0" applyBorder="1"/>
    <xf numFmtId="0" fontId="4" fillId="4" borderId="0" xfId="0" applyFont="1" applyFill="1" applyAlignment="1" applyProtection="1">
      <alignment horizontal="center" wrapText="1"/>
      <protection locked="0"/>
    </xf>
    <xf numFmtId="0" fontId="4" fillId="4" borderId="0" xfId="0" applyFont="1" applyFill="1" applyAlignment="1" applyProtection="1">
      <alignment wrapText="1"/>
      <protection locked="0"/>
    </xf>
    <xf numFmtId="0" fontId="5" fillId="4" borderId="0" xfId="0" applyFont="1" applyFill="1"/>
    <xf numFmtId="0" fontId="6" fillId="4" borderId="0" xfId="0" applyFont="1" applyFill="1"/>
    <xf numFmtId="0" fontId="7" fillId="4" borderId="0" xfId="0" applyFont="1" applyFill="1" applyAlignment="1">
      <alignment horizontal="center"/>
    </xf>
    <xf numFmtId="0" fontId="9" fillId="4" borderId="0" xfId="0" applyFont="1" applyFill="1" applyAlignment="1" applyProtection="1">
      <alignment horizontal="center"/>
      <protection locked="0"/>
    </xf>
    <xf numFmtId="0" fontId="0" fillId="0" borderId="5" xfId="0" applyBorder="1"/>
    <xf numFmtId="0" fontId="0" fillId="0" borderId="6" xfId="0" applyBorder="1"/>
    <xf numFmtId="0" fontId="0" fillId="0" borderId="7" xfId="0" applyBorder="1"/>
    <xf numFmtId="0" fontId="0" fillId="0" borderId="9" xfId="0" applyBorder="1"/>
    <xf numFmtId="165" fontId="0" fillId="5" borderId="0" xfId="0" applyNumberFormat="1" applyFill="1" applyAlignment="1">
      <alignment horizontal="centerContinuous" vertical="center"/>
    </xf>
    <xf numFmtId="0" fontId="0" fillId="5" borderId="0" xfId="0" applyFill="1" applyAlignment="1">
      <alignment horizontal="centerContinuous" vertical="center"/>
    </xf>
    <xf numFmtId="1" fontId="0" fillId="0" borderId="9" xfId="0" applyNumberFormat="1" applyBorder="1"/>
    <xf numFmtId="1" fontId="0" fillId="0" borderId="10" xfId="0" applyNumberFormat="1" applyBorder="1"/>
    <xf numFmtId="0" fontId="0" fillId="0" borderId="0" xfId="0" applyAlignment="1">
      <alignment wrapText="1"/>
    </xf>
    <xf numFmtId="0" fontId="0" fillId="0" borderId="18" xfId="0" applyBorder="1"/>
    <xf numFmtId="0" fontId="0" fillId="0" borderId="19" xfId="0" applyBorder="1"/>
    <xf numFmtId="0" fontId="17" fillId="3" borderId="1" xfId="2" applyFont="1" applyBorder="1"/>
    <xf numFmtId="0" fontId="0" fillId="0" borderId="20" xfId="0" applyBorder="1"/>
    <xf numFmtId="165" fontId="0" fillId="5" borderId="21" xfId="0" applyNumberFormat="1" applyFill="1" applyBorder="1" applyAlignment="1">
      <alignment horizontal="centerContinuous" vertical="center"/>
    </xf>
    <xf numFmtId="165" fontId="0" fillId="5" borderId="20" xfId="0" applyNumberFormat="1" applyFill="1" applyBorder="1" applyAlignment="1">
      <alignment horizontal="centerContinuous" vertical="center" wrapText="1"/>
    </xf>
    <xf numFmtId="165" fontId="0" fillId="5" borderId="23" xfId="0" applyNumberFormat="1" applyFill="1" applyBorder="1" applyAlignment="1">
      <alignment horizontal="centerContinuous" vertical="center" wrapText="1"/>
    </xf>
    <xf numFmtId="0" fontId="0" fillId="0" borderId="22" xfId="0" applyBorder="1"/>
    <xf numFmtId="0" fontId="0" fillId="5" borderId="22" xfId="0" applyFill="1" applyBorder="1" applyAlignment="1">
      <alignment horizontal="centerContinuous" vertical="center"/>
    </xf>
    <xf numFmtId="0" fontId="0" fillId="5" borderId="20" xfId="0" applyFill="1" applyBorder="1" applyAlignment="1">
      <alignment horizontal="centerContinuous" vertical="center"/>
    </xf>
    <xf numFmtId="0" fontId="0" fillId="5" borderId="23" xfId="0" applyFill="1" applyBorder="1" applyAlignment="1">
      <alignment horizontal="centerContinuous" vertical="center"/>
    </xf>
    <xf numFmtId="0" fontId="12" fillId="0" borderId="26" xfId="0" applyFont="1" applyBorder="1" applyAlignment="1">
      <alignment horizontal="center" vertical="center"/>
    </xf>
    <xf numFmtId="0" fontId="12" fillId="0" borderId="24" xfId="0" applyFont="1" applyBorder="1" applyAlignment="1">
      <alignment horizontal="center" vertical="center"/>
    </xf>
    <xf numFmtId="0" fontId="0" fillId="4" borderId="31" xfId="0" applyFill="1" applyBorder="1"/>
    <xf numFmtId="0" fontId="14" fillId="9" borderId="33" xfId="6" applyFont="1" applyBorder="1" applyAlignment="1">
      <alignment horizontal="left"/>
    </xf>
    <xf numFmtId="0" fontId="0" fillId="0" borderId="35" xfId="0" applyBorder="1"/>
    <xf numFmtId="0" fontId="12" fillId="0" borderId="35" xfId="0" applyFont="1" applyBorder="1" applyAlignment="1">
      <alignment horizontal="left" vertical="center"/>
    </xf>
    <xf numFmtId="0" fontId="0" fillId="4" borderId="37" xfId="0" applyFill="1" applyBorder="1"/>
    <xf numFmtId="0" fontId="0" fillId="4" borderId="40" xfId="0" applyFill="1" applyBorder="1"/>
    <xf numFmtId="0" fontId="18" fillId="7" borderId="35" xfId="4" applyFont="1" applyBorder="1" applyAlignment="1">
      <alignment horizontal="left"/>
    </xf>
    <xf numFmtId="0" fontId="18" fillId="7" borderId="0" xfId="4" applyFont="1" applyBorder="1" applyAlignment="1">
      <alignment horizontal="left"/>
    </xf>
    <xf numFmtId="0" fontId="18" fillId="7" borderId="34" xfId="4" applyFont="1" applyBorder="1" applyAlignment="1">
      <alignment horizontal="left"/>
    </xf>
    <xf numFmtId="0" fontId="12" fillId="0" borderId="22" xfId="0" applyFont="1" applyBorder="1" applyAlignment="1">
      <alignment horizontal="left" vertical="center"/>
    </xf>
    <xf numFmtId="0" fontId="12" fillId="0" borderId="42" xfId="0" applyFont="1" applyBorder="1" applyAlignment="1">
      <alignment horizontal="center" vertical="center"/>
    </xf>
    <xf numFmtId="0" fontId="12" fillId="0" borderId="43" xfId="0" applyFont="1" applyBorder="1" applyAlignment="1">
      <alignment horizontal="left" vertical="center"/>
    </xf>
    <xf numFmtId="0" fontId="12" fillId="0" borderId="29" xfId="0" applyFont="1" applyBorder="1" applyAlignment="1">
      <alignment horizontal="left" vertical="center"/>
    </xf>
    <xf numFmtId="0" fontId="12" fillId="0" borderId="37" xfId="0" applyFont="1" applyBorder="1" applyAlignment="1">
      <alignment horizontal="left" vertical="center"/>
    </xf>
    <xf numFmtId="0" fontId="12" fillId="0" borderId="44" xfId="0" applyFont="1" applyBorder="1" applyAlignment="1">
      <alignment horizontal="left" vertical="center"/>
    </xf>
    <xf numFmtId="0" fontId="12" fillId="0" borderId="28" xfId="0" applyFont="1" applyBorder="1" applyAlignment="1">
      <alignment horizontal="left" vertical="center"/>
    </xf>
    <xf numFmtId="0" fontId="12" fillId="0" borderId="23" xfId="0" applyFont="1" applyBorder="1" applyAlignment="1">
      <alignment horizontal="left" vertical="center"/>
    </xf>
    <xf numFmtId="0" fontId="12" fillId="9" borderId="26" xfId="6" applyFont="1" applyBorder="1" applyAlignment="1">
      <alignment horizontal="center" vertical="center"/>
    </xf>
    <xf numFmtId="164" fontId="0" fillId="0" borderId="3" xfId="0" applyNumberFormat="1" applyBorder="1"/>
    <xf numFmtId="0" fontId="0" fillId="0" borderId="6" xfId="0" applyBorder="1" applyAlignment="1">
      <alignment horizontal="center" vertical="center" wrapText="1"/>
    </xf>
    <xf numFmtId="0" fontId="0" fillId="0" borderId="7" xfId="0" applyBorder="1" applyAlignment="1">
      <alignment horizontal="center" vertical="center" wrapText="1"/>
    </xf>
    <xf numFmtId="164" fontId="0" fillId="0" borderId="8" xfId="0" applyNumberFormat="1" applyBorder="1"/>
    <xf numFmtId="0" fontId="12" fillId="11" borderId="2" xfId="9" applyBorder="1"/>
    <xf numFmtId="0" fontId="18" fillId="7" borderId="25" xfId="4" applyFont="1" applyBorder="1" applyAlignment="1">
      <alignment vertical="top" wrapText="1"/>
    </xf>
    <xf numFmtId="0" fontId="18" fillId="7" borderId="42" xfId="4" applyFont="1" applyBorder="1" applyAlignment="1">
      <alignment vertical="top" wrapText="1"/>
    </xf>
    <xf numFmtId="0" fontId="18" fillId="7" borderId="26" xfId="4" applyFont="1" applyBorder="1" applyAlignment="1">
      <alignment vertical="top" wrapText="1"/>
    </xf>
    <xf numFmtId="0" fontId="3" fillId="0" borderId="14" xfId="7" applyAlignment="1">
      <alignment horizontal="centerContinuous"/>
    </xf>
    <xf numFmtId="1" fontId="0" fillId="0" borderId="4" xfId="0" applyNumberFormat="1" applyBorder="1"/>
    <xf numFmtId="0" fontId="3" fillId="0" borderId="14" xfId="7"/>
    <xf numFmtId="0" fontId="3" fillId="0" borderId="14" xfId="7" applyAlignment="1"/>
    <xf numFmtId="0" fontId="1" fillId="2" borderId="2" xfId="1" applyAlignment="1">
      <alignment horizontal="center" vertical="center" wrapText="1"/>
    </xf>
    <xf numFmtId="0" fontId="1" fillId="2" borderId="2" xfId="1" applyAlignment="1">
      <alignment horizontal="center" vertical="center"/>
    </xf>
    <xf numFmtId="0" fontId="22" fillId="0" borderId="1" xfId="0" applyFont="1" applyBorder="1"/>
    <xf numFmtId="14" fontId="22" fillId="0" borderId="1" xfId="0" applyNumberFormat="1" applyFont="1" applyBorder="1"/>
    <xf numFmtId="0" fontId="1" fillId="2" borderId="47" xfId="1" applyBorder="1" applyAlignment="1">
      <alignment horizontal="center" vertical="center" wrapText="1"/>
    </xf>
    <xf numFmtId="0" fontId="20" fillId="4" borderId="0" xfId="0" applyFont="1" applyFill="1"/>
    <xf numFmtId="0" fontId="3" fillId="4" borderId="0" xfId="0" quotePrefix="1" applyFont="1" applyFill="1"/>
    <xf numFmtId="1" fontId="22" fillId="0" borderId="1" xfId="0" applyNumberFormat="1" applyFont="1" applyBorder="1"/>
    <xf numFmtId="0" fontId="0" fillId="4" borderId="0" xfId="0" applyFill="1" applyAlignment="1">
      <alignment vertical="top" wrapText="1"/>
    </xf>
    <xf numFmtId="9" fontId="0" fillId="0" borderId="1" xfId="0" applyNumberFormat="1" applyBorder="1"/>
    <xf numFmtId="9" fontId="0" fillId="0" borderId="9" xfId="0" applyNumberFormat="1" applyBorder="1"/>
    <xf numFmtId="0" fontId="15" fillId="8" borderId="12" xfId="5" applyAlignment="1">
      <alignment horizontal="center" vertical="center" wrapText="1"/>
    </xf>
    <xf numFmtId="0" fontId="13" fillId="6" borderId="19" xfId="3" applyBorder="1"/>
    <xf numFmtId="0" fontId="13" fillId="6" borderId="3" xfId="3" applyBorder="1"/>
    <xf numFmtId="0" fontId="13" fillId="6" borderId="15" xfId="3" applyBorder="1"/>
    <xf numFmtId="0" fontId="13" fillId="6" borderId="8" xfId="3" applyBorder="1"/>
    <xf numFmtId="0" fontId="25" fillId="6" borderId="10" xfId="3" applyFont="1" applyBorder="1"/>
    <xf numFmtId="0" fontId="25" fillId="6" borderId="4" xfId="3" applyFont="1" applyBorder="1"/>
    <xf numFmtId="0" fontId="23" fillId="12" borderId="0" xfId="0" applyFont="1" applyFill="1"/>
    <xf numFmtId="0" fontId="0" fillId="12" borderId="0" xfId="0" applyFill="1"/>
    <xf numFmtId="0" fontId="0" fillId="12" borderId="0" xfId="0" applyFill="1" applyAlignment="1">
      <alignment vertical="top" wrapText="1"/>
    </xf>
    <xf numFmtId="0" fontId="16" fillId="10" borderId="1" xfId="8" applyBorder="1"/>
    <xf numFmtId="14" fontId="0" fillId="0" borderId="9" xfId="0" applyNumberFormat="1" applyBorder="1"/>
    <xf numFmtId="0" fontId="0" fillId="0" borderId="0" xfId="0" quotePrefix="1"/>
    <xf numFmtId="0" fontId="29" fillId="0" borderId="4" xfId="0" applyFont="1" applyBorder="1"/>
    <xf numFmtId="41" fontId="0" fillId="0" borderId="1" xfId="0" applyNumberFormat="1" applyBorder="1"/>
    <xf numFmtId="1" fontId="29" fillId="0" borderId="1" xfId="0" applyNumberFormat="1" applyFont="1" applyBorder="1"/>
    <xf numFmtId="0" fontId="28" fillId="2" borderId="2" xfId="1" applyFont="1" applyAlignment="1">
      <alignment horizontal="center" vertical="center" wrapText="1"/>
    </xf>
    <xf numFmtId="0" fontId="28" fillId="2" borderId="50" xfId="1" applyFont="1" applyBorder="1" applyAlignment="1">
      <alignment horizontal="center" vertical="center" wrapText="1"/>
    </xf>
    <xf numFmtId="0" fontId="0" fillId="14" borderId="0" xfId="0" applyFill="1"/>
    <xf numFmtId="0" fontId="3" fillId="14" borderId="0" xfId="0" quotePrefix="1" applyFont="1" applyFill="1"/>
    <xf numFmtId="0" fontId="30" fillId="14" borderId="0" xfId="0" applyFont="1" applyFill="1"/>
    <xf numFmtId="0" fontId="31" fillId="14" borderId="49" xfId="10" applyFont="1" applyFill="1"/>
    <xf numFmtId="0" fontId="26" fillId="14" borderId="49" xfId="10" applyFont="1" applyFill="1"/>
    <xf numFmtId="0" fontId="0" fillId="14" borderId="0" xfId="0" applyFill="1" applyAlignment="1">
      <alignment vertical="top" wrapText="1"/>
    </xf>
    <xf numFmtId="4" fontId="3" fillId="14" borderId="14" xfId="7" applyNumberFormat="1" applyFill="1" applyAlignment="1">
      <alignment horizontal="centerContinuous"/>
    </xf>
    <xf numFmtId="14" fontId="0" fillId="14" borderId="0" xfId="0" applyNumberFormat="1" applyFill="1"/>
    <xf numFmtId="0" fontId="0" fillId="15" borderId="3" xfId="0" applyFill="1" applyBorder="1"/>
    <xf numFmtId="0" fontId="0" fillId="15" borderId="1" xfId="0" applyFill="1" applyBorder="1"/>
    <xf numFmtId="14" fontId="0" fillId="15" borderId="1" xfId="0" applyNumberFormat="1" applyFill="1" applyBorder="1"/>
    <xf numFmtId="0" fontId="0" fillId="15" borderId="8" xfId="0" applyFill="1" applyBorder="1"/>
    <xf numFmtId="0" fontId="0" fillId="15" borderId="9" xfId="0" applyFill="1" applyBorder="1"/>
    <xf numFmtId="14" fontId="0" fillId="15" borderId="9" xfId="0" applyNumberFormat="1" applyFill="1" applyBorder="1"/>
    <xf numFmtId="0" fontId="32" fillId="16" borderId="5" xfId="0" applyFont="1" applyFill="1" applyBorder="1" applyAlignment="1">
      <alignment horizontal="center" vertical="center" wrapText="1"/>
    </xf>
    <xf numFmtId="0" fontId="32" fillId="16" borderId="6" xfId="0" applyFont="1" applyFill="1" applyBorder="1" applyAlignment="1">
      <alignment horizontal="center" vertical="center" wrapText="1"/>
    </xf>
    <xf numFmtId="0" fontId="32" fillId="16" borderId="7" xfId="0" applyFont="1" applyFill="1" applyBorder="1" applyAlignment="1">
      <alignment horizontal="center" vertical="center" wrapText="1"/>
    </xf>
    <xf numFmtId="0" fontId="32" fillId="16" borderId="1" xfId="0" applyFont="1" applyFill="1" applyBorder="1" applyAlignment="1">
      <alignment horizontal="center" vertical="center" wrapText="1"/>
    </xf>
    <xf numFmtId="0" fontId="3" fillId="14" borderId="14" xfId="7" applyFill="1"/>
    <xf numFmtId="14" fontId="29" fillId="15" borderId="4" xfId="0" applyNumberFormat="1" applyFont="1" applyFill="1" applyBorder="1"/>
    <xf numFmtId="14" fontId="29" fillId="15" borderId="6" xfId="0" applyNumberFormat="1" applyFont="1" applyFill="1" applyBorder="1"/>
    <xf numFmtId="3" fontId="29" fillId="0" borderId="1" xfId="0" applyNumberFormat="1" applyFont="1" applyBorder="1"/>
    <xf numFmtId="44" fontId="3" fillId="0" borderId="14" xfId="7" applyNumberFormat="1" applyAlignment="1">
      <alignment horizontal="centerContinuous"/>
    </xf>
    <xf numFmtId="0" fontId="0" fillId="0" borderId="0" xfId="0" applyAlignment="1">
      <alignment horizontal="center" vertical="center" wrapText="1"/>
    </xf>
    <xf numFmtId="0" fontId="12" fillId="13" borderId="1" xfId="11" applyBorder="1" applyAlignment="1">
      <alignment horizontal="center" vertical="center" wrapText="1"/>
    </xf>
    <xf numFmtId="3" fontId="0" fillId="0" borderId="0" xfId="0" applyNumberFormat="1"/>
    <xf numFmtId="9" fontId="29" fillId="0" borderId="0" xfId="0" applyNumberFormat="1" applyFont="1"/>
    <xf numFmtId="0" fontId="0" fillId="0" borderId="42" xfId="0" applyBorder="1" applyAlignment="1">
      <alignment horizontal="center" vertical="center"/>
    </xf>
    <xf numFmtId="0" fontId="3" fillId="0" borderId="0" xfId="0" applyFont="1"/>
    <xf numFmtId="0" fontId="3" fillId="0" borderId="0" xfId="0" quotePrefix="1" applyFont="1" applyAlignment="1">
      <alignment vertical="center"/>
    </xf>
    <xf numFmtId="14" fontId="0" fillId="4" borderId="1" xfId="0" applyNumberFormat="1" applyFill="1" applyBorder="1"/>
    <xf numFmtId="0" fontId="0" fillId="4" borderId="1" xfId="0" applyFill="1" applyBorder="1"/>
    <xf numFmtId="166" fontId="0" fillId="4" borderId="1" xfId="0" applyNumberFormat="1" applyFill="1" applyBorder="1"/>
    <xf numFmtId="166" fontId="0" fillId="0" borderId="0" xfId="0" applyNumberFormat="1"/>
    <xf numFmtId="0" fontId="16" fillId="18" borderId="0" xfId="13"/>
    <xf numFmtId="0" fontId="0" fillId="21" borderId="0" xfId="0" applyFill="1"/>
    <xf numFmtId="0" fontId="33" fillId="0" borderId="0" xfId="0" applyFont="1"/>
    <xf numFmtId="0" fontId="33" fillId="0" borderId="0" xfId="0" applyFont="1" applyAlignment="1">
      <alignment wrapText="1"/>
    </xf>
    <xf numFmtId="4" fontId="0" fillId="0" borderId="0" xfId="0" applyNumberFormat="1"/>
    <xf numFmtId="2" fontId="0" fillId="0" borderId="0" xfId="0" applyNumberFormat="1"/>
    <xf numFmtId="2" fontId="0" fillId="4" borderId="1" xfId="0" applyNumberFormat="1" applyFill="1" applyBorder="1"/>
    <xf numFmtId="167" fontId="0" fillId="4" borderId="1" xfId="0" applyNumberFormat="1" applyFill="1" applyBorder="1"/>
    <xf numFmtId="168" fontId="0" fillId="4" borderId="1" xfId="0" applyNumberFormat="1" applyFill="1" applyBorder="1"/>
    <xf numFmtId="0" fontId="33" fillId="0" borderId="0" xfId="0" applyFont="1" applyAlignment="1">
      <alignment vertical="top" wrapText="1"/>
    </xf>
    <xf numFmtId="0" fontId="35" fillId="0" borderId="0" xfId="0" applyFont="1" applyAlignment="1">
      <alignment vertical="top"/>
    </xf>
    <xf numFmtId="2" fontId="3" fillId="0" borderId="14" xfId="7" applyNumberFormat="1" applyAlignment="1">
      <alignment horizontal="centerContinuous"/>
    </xf>
    <xf numFmtId="0" fontId="16" fillId="20" borderId="4" xfId="15" applyBorder="1"/>
    <xf numFmtId="0" fontId="12" fillId="19" borderId="4" xfId="14" applyBorder="1"/>
    <xf numFmtId="0" fontId="12" fillId="17" borderId="4" xfId="12" applyBorder="1"/>
    <xf numFmtId="0" fontId="29" fillId="0" borderId="19" xfId="0" applyFont="1" applyBorder="1"/>
    <xf numFmtId="0" fontId="4" fillId="4" borderId="0" xfId="0" applyFont="1" applyFill="1" applyAlignment="1" applyProtection="1">
      <alignment horizontal="center" wrapText="1"/>
      <protection locked="0"/>
    </xf>
    <xf numFmtId="0" fontId="8" fillId="4" borderId="0" xfId="0" applyFont="1" applyFill="1" applyAlignment="1" applyProtection="1">
      <alignment horizontal="center" wrapText="1"/>
      <protection locked="0"/>
    </xf>
    <xf numFmtId="0" fontId="10" fillId="0" borderId="0" xfId="0" applyFont="1" applyAlignment="1">
      <alignment horizontal="center" vertical="center"/>
    </xf>
    <xf numFmtId="0" fontId="14" fillId="9" borderId="37" xfId="6" applyFont="1" applyBorder="1" applyAlignment="1">
      <alignment horizontal="center"/>
    </xf>
    <xf numFmtId="0" fontId="14" fillId="9" borderId="40" xfId="6" applyFont="1" applyBorder="1" applyAlignment="1">
      <alignment horizontal="center"/>
    </xf>
    <xf numFmtId="0" fontId="3" fillId="9" borderId="28" xfId="6" applyFont="1" applyBorder="1" applyAlignment="1">
      <alignment horizontal="center"/>
    </xf>
    <xf numFmtId="0" fontId="3" fillId="9" borderId="23" xfId="6" applyFont="1" applyBorder="1" applyAlignment="1">
      <alignment horizontal="center"/>
    </xf>
    <xf numFmtId="0" fontId="18" fillId="7" borderId="27" xfId="4" applyFont="1" applyBorder="1" applyAlignment="1">
      <alignment horizontal="left" vertical="top" wrapText="1"/>
    </xf>
    <xf numFmtId="0" fontId="18" fillId="7" borderId="41" xfId="4" applyFont="1" applyBorder="1" applyAlignment="1">
      <alignment horizontal="left" vertical="top" wrapText="1"/>
    </xf>
    <xf numFmtId="0" fontId="18" fillId="7" borderId="35" xfId="4" applyFont="1" applyBorder="1" applyAlignment="1">
      <alignment horizontal="left" vertical="top" wrapText="1"/>
    </xf>
    <xf numFmtId="0" fontId="18" fillId="7" borderId="0" xfId="4" applyFont="1" applyBorder="1" applyAlignment="1">
      <alignment horizontal="left" vertical="top" wrapText="1"/>
    </xf>
    <xf numFmtId="0" fontId="18" fillId="7" borderId="28" xfId="4" applyFont="1" applyBorder="1" applyAlignment="1">
      <alignment horizontal="left" vertical="top" wrapText="1"/>
    </xf>
    <xf numFmtId="0" fontId="18" fillId="7" borderId="20" xfId="4" applyFont="1" applyBorder="1" applyAlignment="1">
      <alignment horizontal="left" vertical="top" wrapText="1"/>
    </xf>
    <xf numFmtId="0" fontId="0" fillId="0" borderId="35" xfId="0" applyBorder="1" applyAlignment="1">
      <alignment horizontal="left" wrapText="1"/>
    </xf>
    <xf numFmtId="0" fontId="0" fillId="0" borderId="0" xfId="0" applyAlignment="1">
      <alignment horizontal="left" wrapText="1"/>
    </xf>
    <xf numFmtId="0" fontId="0" fillId="0" borderId="22" xfId="0" applyBorder="1" applyAlignment="1">
      <alignment horizontal="left" wrapText="1"/>
    </xf>
    <xf numFmtId="0" fontId="0" fillId="0" borderId="28" xfId="0" applyBorder="1" applyAlignment="1">
      <alignment horizontal="left" wrapText="1"/>
    </xf>
    <xf numFmtId="0" fontId="0" fillId="0" borderId="20" xfId="0" applyBorder="1" applyAlignment="1">
      <alignment horizontal="left" wrapText="1"/>
    </xf>
    <xf numFmtId="0" fontId="0" fillId="0" borderId="23" xfId="0" applyBorder="1" applyAlignment="1">
      <alignment horizontal="left" wrapText="1"/>
    </xf>
    <xf numFmtId="0" fontId="18" fillId="7" borderId="35" xfId="4" applyFont="1" applyBorder="1" applyAlignment="1">
      <alignment horizontal="left" wrapText="1"/>
    </xf>
    <xf numFmtId="0" fontId="18" fillId="7" borderId="0" xfId="4" applyFont="1" applyBorder="1" applyAlignment="1">
      <alignment horizontal="left" wrapText="1"/>
    </xf>
    <xf numFmtId="0" fontId="18" fillId="7" borderId="22" xfId="4" applyFont="1" applyBorder="1" applyAlignment="1">
      <alignment horizontal="left" wrapText="1"/>
    </xf>
    <xf numFmtId="0" fontId="18" fillId="7" borderId="32" xfId="4" applyFont="1" applyBorder="1" applyAlignment="1">
      <alignment horizontal="left" wrapText="1"/>
    </xf>
    <xf numFmtId="0" fontId="14" fillId="9" borderId="38" xfId="6" applyFont="1" applyBorder="1" applyAlignment="1">
      <alignment horizontal="center"/>
    </xf>
    <xf numFmtId="0" fontId="14" fillId="9" borderId="39" xfId="6" applyFont="1" applyBorder="1" applyAlignment="1">
      <alignment horizontal="center"/>
    </xf>
    <xf numFmtId="0" fontId="14" fillId="9" borderId="36" xfId="6" applyFont="1" applyBorder="1" applyAlignment="1">
      <alignment horizontal="center"/>
    </xf>
    <xf numFmtId="0" fontId="12" fillId="0" borderId="42" xfId="0" applyFont="1" applyBorder="1" applyAlignment="1">
      <alignment horizontal="center" vertical="center"/>
    </xf>
    <xf numFmtId="0" fontId="12" fillId="0" borderId="35" xfId="0" applyFont="1" applyBorder="1" applyAlignment="1">
      <alignment horizontal="left" vertical="center" wrapText="1"/>
    </xf>
    <xf numFmtId="0" fontId="12" fillId="0" borderId="22" xfId="0" applyFont="1" applyBorder="1" applyAlignment="1">
      <alignment horizontal="left" vertical="center" wrapText="1"/>
    </xf>
    <xf numFmtId="0" fontId="12" fillId="0" borderId="37" xfId="0" applyFont="1" applyBorder="1" applyAlignment="1">
      <alignment horizontal="left" vertical="center" wrapText="1"/>
    </xf>
    <xf numFmtId="0" fontId="12" fillId="0" borderId="44" xfId="0" applyFont="1" applyBorder="1" applyAlignment="1">
      <alignment horizontal="left" vertical="center" wrapText="1"/>
    </xf>
    <xf numFmtId="0" fontId="12" fillId="0" borderId="28" xfId="0" applyFont="1" applyBorder="1" applyAlignment="1">
      <alignment horizontal="left" vertical="center" wrapText="1"/>
    </xf>
    <xf numFmtId="0" fontId="12" fillId="0" borderId="23" xfId="0" applyFont="1" applyBorder="1" applyAlignment="1">
      <alignment horizontal="left" vertical="center" wrapText="1"/>
    </xf>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2" fillId="0" borderId="27" xfId="0" applyFont="1" applyBorder="1" applyAlignment="1">
      <alignment horizontal="left" vertical="center" wrapText="1"/>
    </xf>
    <xf numFmtId="0" fontId="12" fillId="0" borderId="21" xfId="0" applyFont="1" applyBorder="1" applyAlignment="1">
      <alignment horizontal="left" vertical="center" wrapText="1"/>
    </xf>
    <xf numFmtId="0" fontId="0" fillId="0" borderId="30" xfId="0" applyBorder="1" applyAlignment="1">
      <alignment horizontal="left"/>
    </xf>
    <xf numFmtId="0" fontId="0" fillId="0" borderId="31" xfId="0" applyBorder="1" applyAlignment="1">
      <alignment horizontal="left"/>
    </xf>
    <xf numFmtId="0" fontId="12" fillId="11" borderId="45" xfId="9" applyBorder="1" applyAlignment="1">
      <alignment horizontal="left" wrapText="1"/>
    </xf>
    <xf numFmtId="0" fontId="12" fillId="11" borderId="46" xfId="9" applyBorder="1" applyAlignment="1">
      <alignment horizontal="left" wrapText="1"/>
    </xf>
    <xf numFmtId="0" fontId="21" fillId="10" borderId="27" xfId="8" applyFont="1" applyBorder="1" applyAlignment="1">
      <alignment horizontal="center" vertical="center"/>
    </xf>
    <xf numFmtId="0" fontId="21" fillId="10" borderId="21" xfId="8" applyFont="1" applyBorder="1" applyAlignment="1">
      <alignment horizontal="center" vertical="center"/>
    </xf>
    <xf numFmtId="0" fontId="21" fillId="10" borderId="28" xfId="8" applyFont="1" applyBorder="1" applyAlignment="1">
      <alignment horizontal="center" vertical="center"/>
    </xf>
    <xf numFmtId="0" fontId="21" fillId="10" borderId="23" xfId="8" applyFont="1" applyBorder="1" applyAlignment="1">
      <alignment horizontal="center" vertical="center"/>
    </xf>
    <xf numFmtId="0" fontId="3" fillId="0" borderId="37" xfId="0" applyFont="1" applyBorder="1" applyAlignment="1">
      <alignment horizontal="left"/>
    </xf>
    <xf numFmtId="0" fontId="0" fillId="0" borderId="44" xfId="0" applyBorder="1" applyAlignment="1">
      <alignment horizontal="left"/>
    </xf>
    <xf numFmtId="0" fontId="0" fillId="0" borderId="37" xfId="0" applyBorder="1" applyAlignment="1">
      <alignment horizontal="left"/>
    </xf>
    <xf numFmtId="0" fontId="0" fillId="4" borderId="48" xfId="0" applyFill="1" applyBorder="1" applyAlignment="1">
      <alignment horizontal="left" wrapText="1"/>
    </xf>
    <xf numFmtId="0" fontId="0" fillId="4" borderId="0" xfId="0" applyFill="1" applyAlignment="1">
      <alignment horizontal="left" wrapText="1"/>
    </xf>
    <xf numFmtId="0" fontId="0" fillId="4" borderId="0" xfId="0" applyFill="1" applyAlignment="1">
      <alignment horizontal="left" vertical="top" wrapText="1"/>
    </xf>
    <xf numFmtId="0" fontId="0" fillId="0" borderId="10" xfId="0" applyBorder="1" applyAlignment="1">
      <alignment horizontal="left" vertical="top" wrapText="1"/>
    </xf>
    <xf numFmtId="0" fontId="0" fillId="0" borderId="15" xfId="0" applyBorder="1" applyAlignment="1">
      <alignment horizontal="left" vertical="top" wrapText="1"/>
    </xf>
    <xf numFmtId="0" fontId="0" fillId="0" borderId="8" xfId="0" applyBorder="1" applyAlignment="1">
      <alignment horizontal="left" vertical="top" wrapText="1"/>
    </xf>
    <xf numFmtId="0" fontId="0" fillId="0" borderId="7" xfId="0" applyBorder="1" applyAlignment="1">
      <alignment horizontal="left" vertical="top" wrapText="1"/>
    </xf>
    <xf numFmtId="0" fontId="0" fillId="0" borderId="18" xfId="0" applyBorder="1" applyAlignment="1">
      <alignment horizontal="left" vertical="top" wrapText="1"/>
    </xf>
    <xf numFmtId="0" fontId="0" fillId="0" borderId="5" xfId="0" applyBorder="1" applyAlignment="1">
      <alignment horizontal="left" vertical="top" wrapText="1"/>
    </xf>
    <xf numFmtId="0" fontId="0" fillId="0" borderId="10" xfId="0" applyBorder="1" applyAlignment="1">
      <alignment horizontal="left" wrapText="1"/>
    </xf>
    <xf numFmtId="0" fontId="0" fillId="0" borderId="15" xfId="0" applyBorder="1" applyAlignment="1">
      <alignment horizontal="left" wrapText="1"/>
    </xf>
    <xf numFmtId="0" fontId="0" fillId="0" borderId="8" xfId="0" applyBorder="1" applyAlignment="1">
      <alignment horizontal="left" wrapText="1"/>
    </xf>
    <xf numFmtId="0" fontId="0" fillId="0" borderId="16" xfId="0" applyBorder="1" applyAlignment="1">
      <alignment horizontal="left" wrapText="1"/>
    </xf>
    <xf numFmtId="0" fontId="0" fillId="0" borderId="17" xfId="0" applyBorder="1" applyAlignment="1">
      <alignment horizontal="left" wrapText="1"/>
    </xf>
    <xf numFmtId="0" fontId="0" fillId="0" borderId="7" xfId="0" applyBorder="1" applyAlignment="1">
      <alignment horizontal="left" wrapText="1"/>
    </xf>
    <xf numFmtId="0" fontId="0" fillId="0" borderId="18" xfId="0" applyBorder="1" applyAlignment="1">
      <alignment horizontal="left" wrapText="1"/>
    </xf>
    <xf numFmtId="0" fontId="0" fillId="0" borderId="5" xfId="0" applyBorder="1" applyAlignment="1">
      <alignment horizontal="left" wrapText="1"/>
    </xf>
    <xf numFmtId="0" fontId="0" fillId="0" borderId="16" xfId="0" applyBorder="1" applyAlignment="1">
      <alignment horizontal="left" vertical="top" wrapText="1"/>
    </xf>
    <xf numFmtId="0" fontId="0" fillId="0" borderId="0" xfId="0" applyAlignment="1">
      <alignment horizontal="left" vertical="top" wrapText="1"/>
    </xf>
    <xf numFmtId="0" fontId="0" fillId="0" borderId="17" xfId="0" applyBorder="1" applyAlignment="1">
      <alignment horizontal="left" vertical="top" wrapText="1"/>
    </xf>
    <xf numFmtId="0" fontId="0" fillId="14" borderId="49" xfId="10" applyFont="1" applyFill="1" applyAlignment="1">
      <alignment horizontal="left" vertical="top" wrapText="1"/>
    </xf>
    <xf numFmtId="0" fontId="27" fillId="14" borderId="49" xfId="10" applyFill="1" applyAlignment="1">
      <alignment horizontal="left" vertical="top" wrapText="1"/>
    </xf>
    <xf numFmtId="0" fontId="0" fillId="14" borderId="49" xfId="10" applyFont="1" applyFill="1" applyAlignment="1">
      <alignment horizontal="left" wrapText="1"/>
    </xf>
    <xf numFmtId="0" fontId="27" fillId="14" borderId="49" xfId="10" applyFill="1" applyAlignment="1">
      <alignment horizontal="left" wrapText="1"/>
    </xf>
    <xf numFmtId="0" fontId="0" fillId="14" borderId="0" xfId="0" applyFill="1" applyAlignment="1">
      <alignment horizontal="left" wrapText="1"/>
    </xf>
    <xf numFmtId="0" fontId="33" fillId="0" borderId="0" xfId="0" applyFont="1" applyAlignment="1">
      <alignment horizontal="left" wrapText="1"/>
    </xf>
    <xf numFmtId="0" fontId="33" fillId="0" borderId="0" xfId="0" applyFont="1" applyAlignment="1">
      <alignment horizontal="left" vertical="top" wrapText="1"/>
    </xf>
    <xf numFmtId="0" fontId="33" fillId="0" borderId="48" xfId="0" applyFont="1" applyBorder="1" applyAlignment="1">
      <alignment horizontal="left" wrapText="1"/>
    </xf>
    <xf numFmtId="0" fontId="29" fillId="0" borderId="1" xfId="0" applyFont="1" applyBorder="1" applyAlignment="1">
      <alignment horizontal="center" vertical="center"/>
    </xf>
    <xf numFmtId="0" fontId="29" fillId="0" borderId="9" xfId="0" applyFont="1" applyBorder="1" applyAlignment="1">
      <alignment horizontal="center" vertical="center"/>
    </xf>
    <xf numFmtId="0" fontId="29" fillId="0" borderId="6" xfId="0" applyFont="1" applyBorder="1" applyAlignment="1">
      <alignment horizontal="center" vertical="center"/>
    </xf>
    <xf numFmtId="4" fontId="29" fillId="0" borderId="1" xfId="0" applyNumberFormat="1" applyFont="1" applyBorder="1" applyAlignment="1">
      <alignment horizontal="center" vertical="center"/>
    </xf>
    <xf numFmtId="0" fontId="29" fillId="0" borderId="1" xfId="0" applyFont="1" applyBorder="1" applyAlignment="1">
      <alignment horizontal="center"/>
    </xf>
    <xf numFmtId="0" fontId="0" fillId="0" borderId="0" xfId="0" applyNumberFormat="1"/>
  </cellXfs>
  <cellStyles count="16">
    <cellStyle name="20% - Accent4" xfId="9" builtinId="42"/>
    <cellStyle name="20% - Accent6" xfId="11" builtinId="50"/>
    <cellStyle name="40% - Accent2" xfId="12" builtinId="35"/>
    <cellStyle name="40% - Accent4" xfId="14" builtinId="43"/>
    <cellStyle name="Accent3" xfId="13" builtinId="37"/>
    <cellStyle name="Accent4" xfId="8" builtinId="41"/>
    <cellStyle name="Accent5" xfId="15" builtinId="45"/>
    <cellStyle name="Check Cell" xfId="5" builtinId="23"/>
    <cellStyle name="Good" xfId="2" builtinId="26"/>
    <cellStyle name="Input" xfId="1" builtinId="20"/>
    <cellStyle name="Linked Cell" xfId="10" builtinId="24"/>
    <cellStyle name="Neutral" xfId="3" builtinId="28"/>
    <cellStyle name="Normal" xfId="0" builtinId="0"/>
    <cellStyle name="Note" xfId="6" builtinId="10"/>
    <cellStyle name="Output" xfId="4" builtinId="21"/>
    <cellStyle name="Total" xfId="7" builtinId="25"/>
  </cellStyles>
  <dxfs count="85">
    <dxf>
      <numFmt numFmtId="4" formatCode="#,##0.00"/>
    </dxf>
    <dxf>
      <numFmt numFmtId="4" formatCode="#,##0.00"/>
    </dxf>
    <dxf>
      <numFmt numFmtId="4" formatCode="#,##0.00"/>
    </dxf>
    <dxf>
      <font>
        <color rgb="FFFF0000"/>
      </font>
    </dxf>
    <dxf>
      <fill>
        <patternFill>
          <bgColor theme="6" tint="0.79998168889431442"/>
        </patternFill>
      </fill>
    </dxf>
    <dxf>
      <numFmt numFmtId="4" formatCode="#,##0.00"/>
    </dxf>
    <dxf>
      <numFmt numFmtId="168" formatCode="_([$€-2]\ * #,##0.000_);_([$€-2]\ * \(#,##0.000\);_([$€-2]\ * &quot;-&quot;???_);_(@_)"/>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numFmt numFmtId="167" formatCode="0.0000"/>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tint="-4.9989318521683403E-2"/>
        </patternFill>
      </fill>
      <border diagonalUp="0" diagonalDown="0" outline="0">
        <left style="thin">
          <color indexed="64"/>
        </left>
        <right style="thin">
          <color indexed="64"/>
        </right>
        <top style="thin">
          <color indexed="64"/>
        </top>
        <bottom style="thin">
          <color indexed="64"/>
        </bottom>
      </border>
    </dxf>
    <dxf>
      <numFmt numFmtId="166" formatCode="_([$€-2]\ * #,##0_);_([$€-2]\ * \(#,##0\);_([$€-2]\ * &quot;-&quot;_);_(@_)"/>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2]\ * #,##0_);_([$€-2]\ * \(#,##0\);_([$€-2]\ * &quot;-&quot;_);_(@_)"/>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4.9989318521683403E-2"/>
        </patternFill>
      </fill>
    </dxf>
    <dxf>
      <alignment horizontal="general" vertical="bottom" textRotation="0" wrapText="0" indent="0" justifyLastLine="0" shrinkToFit="0" readingOrder="0"/>
    </dxf>
    <dxf>
      <font>
        <strike val="0"/>
        <outline val="0"/>
        <shadow val="0"/>
        <u val="none"/>
        <vertAlign val="baseline"/>
        <sz val="11"/>
        <color theme="0" tint="-0.499984740745262"/>
        <name val="Aptos Narrow"/>
        <family val="2"/>
        <scheme val="minor"/>
      </font>
      <numFmt numFmtId="13" formatCode="0%"/>
    </dxf>
    <dxf>
      <numFmt numFmtId="3" formatCode="#,##0"/>
    </dxf>
    <dxf>
      <font>
        <b val="0"/>
      </font>
      <alignment horizontal="center" vertical="center" textRotation="0" wrapText="1" indent="0" justifyLastLine="0" shrinkToFit="0" readingOrder="0"/>
    </dxf>
    <dxf>
      <font>
        <strike val="0"/>
        <outline val="0"/>
        <shadow val="0"/>
        <u val="none"/>
        <vertAlign val="baseline"/>
        <sz val="11"/>
        <color theme="0" tint="-0.499984740745262"/>
        <name val="Aptos Narrow"/>
        <family val="2"/>
        <scheme val="minor"/>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499984740745262"/>
        <name val="Aptos Narrow"/>
        <family val="2"/>
        <scheme val="minor"/>
      </font>
      <numFmt numFmtId="19" formatCode="m/d/yyyy"/>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numFmt numFmtId="19" formatCode="m/d/yyyy"/>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strike val="0"/>
        <outline val="0"/>
        <shadow val="0"/>
        <u val="none"/>
        <vertAlign val="baseline"/>
        <sz val="11"/>
        <color theme="4"/>
        <name val="Aptos Narrow"/>
        <family val="2"/>
        <scheme val="minor"/>
      </font>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0" tint="-0.499984740745262"/>
        <name val="Aptos Narrow"/>
        <family val="2"/>
        <scheme val="minor"/>
      </font>
      <numFmt numFmtId="1" formatCode="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499984740745262"/>
        <name val="Aptos Narrow"/>
        <family val="2"/>
        <scheme val="minor"/>
      </font>
      <numFmt numFmtId="3" formatCode="#,##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0" tint="-0.499984740745262"/>
        <name val="Aptos Narrow"/>
        <family val="2"/>
        <scheme val="minor"/>
      </font>
      <border diagonalUp="0" diagonalDown="0" outline="0">
        <left style="thin">
          <color indexed="64"/>
        </left>
        <right style="thin">
          <color indexed="64"/>
        </right>
        <top style="thin">
          <color indexed="64"/>
        </top>
        <bottom style="thin">
          <color indexed="64"/>
        </bottom>
      </border>
    </dxf>
    <dxf>
      <numFmt numFmtId="33" formatCode="_(* #,##0_);_(* \(#,##0\);_(* &quot;-&quot;_);_(@_)"/>
      <border diagonalUp="0" diagonalDown="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numFmt numFmtId="33" formatCode="_(* #,##0_);_(* \(#,##0\);_(* &quot;-&quot;_);_(@_)"/>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font>
      <alignment horizontal="center"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0" tint="-0.34998626667073579"/>
        <name val="Aptos Narrow"/>
        <family val="2"/>
        <scheme val="minor"/>
      </font>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numFmt numFmtId="1" formatCode="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00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
      <numFmt numFmtId="1" formatCode="0"/>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horizontal/>
      </border>
    </dxf>
    <dxf>
      <numFmt numFmtId="1" formatCode="0"/>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numFmt numFmtId="1" formatCode="0"/>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colors>
    <mruColors>
      <color rgb="FFFEF8EC"/>
      <color rgb="FFFF7575"/>
      <color rgb="FFE7FFE7"/>
      <color rgb="FFFFFFAF"/>
      <color rgb="FFFFFF00"/>
      <color rgb="FFFFFF66"/>
      <color rgb="FFFFCCCC"/>
      <color rgb="FF68D2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1/relationships/timelineCache" Target="timelineCaches/timelineCache1.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eetMetadata" Target="metadata.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 za studente.xlsx]Izveštaj!PivotTable9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r-Latn-RS"/>
              <a:t>Top</a:t>
            </a:r>
            <a:r>
              <a:rPr lang="sr-Latn-RS" baseline="0"/>
              <a:t> 3 klijenta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Izveštaj!$E$6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Izveštaj!$D$7:$D$10</c:f>
              <c:strCache>
                <c:ptCount val="3"/>
                <c:pt idx="0">
                  <c:v>ZenDecor</c:v>
                </c:pt>
                <c:pt idx="1">
                  <c:v>FitLife</c:v>
                </c:pt>
                <c:pt idx="2">
                  <c:v>GreenWave</c:v>
                </c:pt>
              </c:strCache>
            </c:strRef>
          </c:cat>
          <c:val>
            <c:numRef>
              <c:f>Izveštaj!$E$7:$E$10</c:f>
              <c:numCache>
                <c:formatCode>_([$€-2]\ * #,##0_);_([$€-2]\ * \(#,##0\);_([$€-2]\ * "-"_);_(@_)</c:formatCode>
                <c:ptCount val="3"/>
                <c:pt idx="0">
                  <c:v>131953.51</c:v>
                </c:pt>
                <c:pt idx="1">
                  <c:v>115753.17000000001</c:v>
                </c:pt>
                <c:pt idx="2">
                  <c:v>111565.31000000001</c:v>
                </c:pt>
              </c:numCache>
            </c:numRef>
          </c:val>
          <c:extLst>
            <c:ext xmlns:c16="http://schemas.microsoft.com/office/drawing/2014/chart" uri="{C3380CC4-5D6E-409C-BE32-E72D297353CC}">
              <c16:uniqueId val="{00000000-B948-42C7-8C16-739FEA7BBFEF}"/>
            </c:ext>
          </c:extLst>
        </c:ser>
        <c:dLbls>
          <c:dLblPos val="outEnd"/>
          <c:showLegendKey val="0"/>
          <c:showVal val="1"/>
          <c:showCatName val="0"/>
          <c:showSerName val="0"/>
          <c:showPercent val="0"/>
          <c:showBubbleSize val="0"/>
        </c:dLbls>
        <c:gapWidth val="219"/>
        <c:overlap val="-27"/>
        <c:axId val="57423055"/>
        <c:axId val="57423535"/>
      </c:barChart>
      <c:catAx>
        <c:axId val="57423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3535"/>
        <c:crosses val="autoZero"/>
        <c:auto val="1"/>
        <c:lblAlgn val="ctr"/>
        <c:lblOffset val="100"/>
        <c:noMultiLvlLbl val="0"/>
      </c:catAx>
      <c:valAx>
        <c:axId val="57423535"/>
        <c:scaling>
          <c:orientation val="minMax"/>
        </c:scaling>
        <c:delete val="1"/>
        <c:axPos val="l"/>
        <c:numFmt formatCode="_([$€-2]\ * #,##0_);_([$€-2]\ * \(#,##0\);_([$€-2]\ * &quot;-&quot;_);_(@_)" sourceLinked="1"/>
        <c:majorTickMark val="out"/>
        <c:minorTickMark val="none"/>
        <c:tickLblPos val="nextTo"/>
        <c:crossAx val="5742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 za studente.xlsx]Izveštaj!PivotTable12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t>
            </a:r>
            <a:r>
              <a:rPr lang="sr-Latn-RS"/>
              <a:t>op</a:t>
            </a:r>
            <a:r>
              <a:rPr lang="sr-Latn-RS" baseline="0"/>
              <a:t> 3 platforme po prihodu</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Izveštaj!$H$6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Izveštaj!$G$7:$G$10</c:f>
              <c:strCache>
                <c:ptCount val="3"/>
                <c:pt idx="0">
                  <c:v>eBay</c:v>
                </c:pt>
                <c:pt idx="1">
                  <c:v>Etsy</c:v>
                </c:pt>
                <c:pt idx="2">
                  <c:v>TikTok Shop</c:v>
                </c:pt>
              </c:strCache>
            </c:strRef>
          </c:cat>
          <c:val>
            <c:numRef>
              <c:f>Izveštaj!$H$7:$H$10</c:f>
              <c:numCache>
                <c:formatCode>_([$€-2]\ * #,##0_);_([$€-2]\ * \(#,##0\);_([$€-2]\ * "-"_);_(@_)</c:formatCode>
                <c:ptCount val="3"/>
                <c:pt idx="0">
                  <c:v>126384.86</c:v>
                </c:pt>
                <c:pt idx="1">
                  <c:v>113834.83000000002</c:v>
                </c:pt>
                <c:pt idx="2">
                  <c:v>115320.17000000001</c:v>
                </c:pt>
              </c:numCache>
            </c:numRef>
          </c:val>
          <c:extLst>
            <c:ext xmlns:c16="http://schemas.microsoft.com/office/drawing/2014/chart" uri="{C3380CC4-5D6E-409C-BE32-E72D297353CC}">
              <c16:uniqueId val="{00000000-1246-4C52-84B4-8A368B7DF3EF}"/>
            </c:ext>
          </c:extLst>
        </c:ser>
        <c:dLbls>
          <c:dLblPos val="outEnd"/>
          <c:showLegendKey val="0"/>
          <c:showVal val="1"/>
          <c:showCatName val="0"/>
          <c:showSerName val="0"/>
          <c:showPercent val="0"/>
          <c:showBubbleSize val="0"/>
        </c:dLbls>
        <c:gapWidth val="219"/>
        <c:overlap val="-27"/>
        <c:axId val="1589281535"/>
        <c:axId val="378632895"/>
      </c:barChart>
      <c:catAx>
        <c:axId val="158928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632895"/>
        <c:crosses val="autoZero"/>
        <c:auto val="1"/>
        <c:lblAlgn val="ctr"/>
        <c:lblOffset val="100"/>
        <c:noMultiLvlLbl val="0"/>
      </c:catAx>
      <c:valAx>
        <c:axId val="378632895"/>
        <c:scaling>
          <c:orientation val="minMax"/>
        </c:scaling>
        <c:delete val="1"/>
        <c:axPos val="l"/>
        <c:numFmt formatCode="_([$€-2]\ * #,##0_);_([$€-2]\ * \(#,##0\);_([$€-2]\ * &quot;-&quot;_);_(@_)" sourceLinked="1"/>
        <c:majorTickMark val="none"/>
        <c:minorTickMark val="none"/>
        <c:tickLblPos val="nextTo"/>
        <c:crossAx val="158928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 za studente.xlsx]Izveštaj!PivotTable13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Najprofitabilnije države (Top 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Izveštaj!$K$6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DF-450F-B3FE-A685FC50A5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DF-450F-B3FE-A685FC50A5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DF-450F-B3FE-A685FC50A5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DF-450F-B3FE-A685FC50A50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3DF-450F-B3FE-A685FC50A5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Izveštaj!$J$7:$J$12</c:f>
              <c:strCache>
                <c:ptCount val="5"/>
                <c:pt idx="0">
                  <c:v>Italy</c:v>
                </c:pt>
                <c:pt idx="1">
                  <c:v>Germany</c:v>
                </c:pt>
                <c:pt idx="2">
                  <c:v>Spain</c:v>
                </c:pt>
                <c:pt idx="3">
                  <c:v>UK</c:v>
                </c:pt>
                <c:pt idx="4">
                  <c:v>France</c:v>
                </c:pt>
              </c:strCache>
            </c:strRef>
          </c:cat>
          <c:val>
            <c:numRef>
              <c:f>Izveštaj!$K$7:$K$12</c:f>
              <c:numCache>
                <c:formatCode>_([$€-2]\ * #,##0_);_([$€-2]\ * \(#,##0\);_([$€-2]\ * "-"_);_(@_)</c:formatCode>
                <c:ptCount val="5"/>
                <c:pt idx="0">
                  <c:v>109294.39999999999</c:v>
                </c:pt>
                <c:pt idx="1">
                  <c:v>104941.09</c:v>
                </c:pt>
                <c:pt idx="2">
                  <c:v>102431.95000000001</c:v>
                </c:pt>
                <c:pt idx="3">
                  <c:v>87919.81</c:v>
                </c:pt>
                <c:pt idx="4">
                  <c:v>81708.669999999984</c:v>
                </c:pt>
              </c:numCache>
            </c:numRef>
          </c:val>
          <c:extLst>
            <c:ext xmlns:c16="http://schemas.microsoft.com/office/drawing/2014/chart" uri="{C3380CC4-5D6E-409C-BE32-E72D297353CC}">
              <c16:uniqueId val="{0000000A-73DF-450F-B3FE-A685FC50A50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 za studente.xlsx]Izveštaj!PivotTable14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Ukupne konverzije po platformama</a:t>
            </a:r>
            <a:endParaRPr lang="en-US"/>
          </a:p>
        </c:rich>
      </c:tx>
      <c:layout>
        <c:manualLayout>
          <c:xMode val="edge"/>
          <c:yMode val="edge"/>
          <c:x val="0.23390183406300277"/>
          <c:y val="4.52196382428940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Izveštaj!$N$6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Izveštaj!$M$7:$M$13</c:f>
              <c:strCache>
                <c:ptCount val="6"/>
                <c:pt idx="0">
                  <c:v>eBay</c:v>
                </c:pt>
                <c:pt idx="1">
                  <c:v>Etsy</c:v>
                </c:pt>
                <c:pt idx="2">
                  <c:v>WooCommerce</c:v>
                </c:pt>
                <c:pt idx="3">
                  <c:v>Shopify</c:v>
                </c:pt>
                <c:pt idx="4">
                  <c:v>TikTok Shop</c:v>
                </c:pt>
                <c:pt idx="5">
                  <c:v>Amazon</c:v>
                </c:pt>
              </c:strCache>
            </c:strRef>
          </c:cat>
          <c:val>
            <c:numRef>
              <c:f>Izveštaj!$N$7:$N$13</c:f>
              <c:numCache>
                <c:formatCode>General</c:formatCode>
                <c:ptCount val="6"/>
                <c:pt idx="0">
                  <c:v>2888</c:v>
                </c:pt>
                <c:pt idx="1">
                  <c:v>2698</c:v>
                </c:pt>
                <c:pt idx="2">
                  <c:v>2553</c:v>
                </c:pt>
                <c:pt idx="3">
                  <c:v>1862</c:v>
                </c:pt>
                <c:pt idx="4">
                  <c:v>1770</c:v>
                </c:pt>
                <c:pt idx="5">
                  <c:v>1302</c:v>
                </c:pt>
              </c:numCache>
            </c:numRef>
          </c:val>
          <c:extLst>
            <c:ext xmlns:c16="http://schemas.microsoft.com/office/drawing/2014/chart" uri="{C3380CC4-5D6E-409C-BE32-E72D297353CC}">
              <c16:uniqueId val="{00000000-25D2-418B-B814-FF264831EE74}"/>
            </c:ext>
          </c:extLst>
        </c:ser>
        <c:dLbls>
          <c:dLblPos val="outEnd"/>
          <c:showLegendKey val="0"/>
          <c:showVal val="1"/>
          <c:showCatName val="0"/>
          <c:showSerName val="0"/>
          <c:showPercent val="0"/>
          <c:showBubbleSize val="0"/>
        </c:dLbls>
        <c:gapWidth val="219"/>
        <c:axId val="543069663"/>
        <c:axId val="543070143"/>
      </c:barChart>
      <c:catAx>
        <c:axId val="54306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070143"/>
        <c:crosses val="autoZero"/>
        <c:auto val="1"/>
        <c:lblAlgn val="ctr"/>
        <c:lblOffset val="100"/>
        <c:noMultiLvlLbl val="0"/>
      </c:catAx>
      <c:valAx>
        <c:axId val="543070143"/>
        <c:scaling>
          <c:orientation val="minMax"/>
        </c:scaling>
        <c:delete val="1"/>
        <c:axPos val="b"/>
        <c:numFmt formatCode="General" sourceLinked="1"/>
        <c:majorTickMark val="none"/>
        <c:minorTickMark val="none"/>
        <c:tickLblPos val="nextTo"/>
        <c:crossAx val="54306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[Kurs za studente.xlsx]Izveštaj!PivotTable16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ROAS po platformama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Izveštaj!$E$18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Izveštaj!$D$19:$D$25</c:f>
              <c:strCache>
                <c:ptCount val="6"/>
                <c:pt idx="0">
                  <c:v>TikTok Shop</c:v>
                </c:pt>
                <c:pt idx="1">
                  <c:v>Amazon</c:v>
                </c:pt>
                <c:pt idx="2">
                  <c:v>WooCommerce</c:v>
                </c:pt>
                <c:pt idx="3">
                  <c:v>Etsy</c:v>
                </c:pt>
                <c:pt idx="4">
                  <c:v>eBay</c:v>
                </c:pt>
                <c:pt idx="5">
                  <c:v>Shopify</c:v>
                </c:pt>
              </c:strCache>
            </c:strRef>
          </c:cat>
          <c:val>
            <c:numRef>
              <c:f>Izveštaj!$E$19:$E$25</c:f>
              <c:numCache>
                <c:formatCode>#,##0.00</c:formatCode>
                <c:ptCount val="6"/>
                <c:pt idx="0">
                  <c:v>18.171511887971246</c:v>
                </c:pt>
                <c:pt idx="1">
                  <c:v>9.3888373203717421</c:v>
                </c:pt>
                <c:pt idx="2">
                  <c:v>9.1527179328859507</c:v>
                </c:pt>
                <c:pt idx="3">
                  <c:v>8.2180281646254532</c:v>
                </c:pt>
                <c:pt idx="4">
                  <c:v>4.4740650682185858</c:v>
                </c:pt>
                <c:pt idx="5">
                  <c:v>4.4223154367036033</c:v>
                </c:pt>
              </c:numCache>
            </c:numRef>
          </c:val>
          <c:extLst>
            <c:ext xmlns:c16="http://schemas.microsoft.com/office/drawing/2014/chart" uri="{C3380CC4-5D6E-409C-BE32-E72D297353CC}">
              <c16:uniqueId val="{00000000-91C3-471D-81DF-52181AA81BEF}"/>
            </c:ext>
          </c:extLst>
        </c:ser>
        <c:dLbls>
          <c:dLblPos val="outEnd"/>
          <c:showLegendKey val="0"/>
          <c:showVal val="1"/>
          <c:showCatName val="0"/>
          <c:showSerName val="0"/>
          <c:showPercent val="0"/>
          <c:showBubbleSize val="0"/>
        </c:dLbls>
        <c:gapWidth val="219"/>
        <c:axId val="57439855"/>
        <c:axId val="57423535"/>
      </c:barChart>
      <c:catAx>
        <c:axId val="5743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23535"/>
        <c:crosses val="autoZero"/>
        <c:auto val="1"/>
        <c:lblAlgn val="ctr"/>
        <c:lblOffset val="100"/>
        <c:noMultiLvlLbl val="0"/>
      </c:catAx>
      <c:valAx>
        <c:axId val="57423535"/>
        <c:scaling>
          <c:orientation val="minMax"/>
        </c:scaling>
        <c:delete val="1"/>
        <c:axPos val="b"/>
        <c:numFmt formatCode="#,##0.00" sourceLinked="1"/>
        <c:majorTickMark val="none"/>
        <c:minorTickMark val="none"/>
        <c:tickLblPos val="nextTo"/>
        <c:crossAx val="5743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[Kurs za studente.xlsx]Izveštaj!PivotTable17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r-Latn-RS"/>
              <a:t>Prihod</a:t>
            </a:r>
            <a:r>
              <a:rPr lang="sr-Latn-RS" baseline="0"/>
              <a:t> po kvartalima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Izveštaj!$H$18</c:f>
              <c:strCache>
                <c:ptCount val="1"/>
                <c:pt idx="0">
                  <c:v>Total</c:v>
                </c:pt>
              </c:strCache>
            </c:strRef>
          </c:tx>
          <c:spPr>
            <a:ln w="28575" cap="rnd">
              <a:solidFill>
                <a:schemeClr val="dk1">
                  <a:tint val="88500"/>
                </a:schemeClr>
              </a:solidFill>
              <a:round/>
            </a:ln>
            <a:effectLst/>
          </c:spPr>
          <c:marker>
            <c:symbol val="none"/>
          </c:marker>
          <c:cat>
            <c:strRef>
              <c:f>Izveštaj!$G$19:$G$23</c:f>
              <c:strCache>
                <c:ptCount val="4"/>
                <c:pt idx="0">
                  <c:v>Qtr1</c:v>
                </c:pt>
                <c:pt idx="1">
                  <c:v>Qtr2</c:v>
                </c:pt>
                <c:pt idx="2">
                  <c:v>Qtr3</c:v>
                </c:pt>
                <c:pt idx="3">
                  <c:v>Qtr4</c:v>
                </c:pt>
              </c:strCache>
            </c:strRef>
          </c:cat>
          <c:val>
            <c:numRef>
              <c:f>Izveštaj!$H$19:$H$23</c:f>
              <c:numCache>
                <c:formatCode>_([$€-2]\ * #,##0_);_([$€-2]\ * \(#,##0\);_([$€-2]\ * "-"_);_(@_)</c:formatCode>
                <c:ptCount val="4"/>
                <c:pt idx="0">
                  <c:v>187289.55</c:v>
                </c:pt>
                <c:pt idx="1">
                  <c:v>104961.01999999999</c:v>
                </c:pt>
                <c:pt idx="2">
                  <c:v>107247.36999999998</c:v>
                </c:pt>
                <c:pt idx="3">
                  <c:v>221825.81000000006</c:v>
                </c:pt>
              </c:numCache>
            </c:numRef>
          </c:val>
          <c:smooth val="0"/>
          <c:extLst>
            <c:ext xmlns:c16="http://schemas.microsoft.com/office/drawing/2014/chart" uri="{C3380CC4-5D6E-409C-BE32-E72D297353CC}">
              <c16:uniqueId val="{00000000-78DB-4A6E-B2A6-664F37DBE167}"/>
            </c:ext>
          </c:extLst>
        </c:ser>
        <c:dLbls>
          <c:showLegendKey val="0"/>
          <c:showVal val="0"/>
          <c:showCatName val="0"/>
          <c:showSerName val="0"/>
          <c:showPercent val="0"/>
          <c:showBubbleSize val="0"/>
        </c:dLbls>
        <c:smooth val="0"/>
        <c:axId val="524864095"/>
        <c:axId val="524863615"/>
      </c:lineChart>
      <c:catAx>
        <c:axId val="52486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863615"/>
        <c:crosses val="autoZero"/>
        <c:auto val="1"/>
        <c:lblAlgn val="ctr"/>
        <c:lblOffset val="100"/>
        <c:noMultiLvlLbl val="0"/>
      </c:catAx>
      <c:valAx>
        <c:axId val="524863615"/>
        <c:scaling>
          <c:orientation val="minMax"/>
        </c:scaling>
        <c:delete val="1"/>
        <c:axPos val="l"/>
        <c:numFmt formatCode="_([$€-2]\ * #,##0_);_([$€-2]\ * \(#,##0\);_([$€-2]\ * &quot;-&quot;_);_(@_)" sourceLinked="1"/>
        <c:majorTickMark val="none"/>
        <c:minorTickMark val="none"/>
        <c:tickLblPos val="nextTo"/>
        <c:crossAx val="52486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114300</xdr:colOff>
      <xdr:row>1</xdr:row>
      <xdr:rowOff>53340</xdr:rowOff>
    </xdr:from>
    <xdr:to>
      <xdr:col>22</xdr:col>
      <xdr:colOff>205740</xdr:colOff>
      <xdr:row>5</xdr:row>
      <xdr:rowOff>30480</xdr:rowOff>
    </xdr:to>
    <xdr:sp macro="" textlink="">
      <xdr:nvSpPr>
        <xdr:cNvPr id="4" name="Rectangle: Rounded Corners 3">
          <a:extLst>
            <a:ext uri="{FF2B5EF4-FFF2-40B4-BE49-F238E27FC236}">
              <a16:creationId xmlns:a16="http://schemas.microsoft.com/office/drawing/2014/main" id="{0169556D-683D-4F2A-86C7-8CDEB407C6F7}"/>
            </a:ext>
          </a:extLst>
        </xdr:cNvPr>
        <xdr:cNvSpPr/>
      </xdr:nvSpPr>
      <xdr:spPr>
        <a:xfrm>
          <a:off x="723900" y="236220"/>
          <a:ext cx="12893040" cy="708660"/>
        </a:xfrm>
        <a:prstGeom prst="roundRect">
          <a:avLst/>
        </a:prstGeom>
        <a:solidFill>
          <a:srgbClr val="68D29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sr-Latn-RS" sz="2000" b="1" i="1">
              <a:solidFill>
                <a:schemeClr val="tx1"/>
              </a:solidFill>
            </a:rPr>
            <a:t>Excel mastery u praksi - startujemo! </a:t>
          </a:r>
          <a:endParaRPr lang="en-US" sz="2000" b="1" i="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0</xdr:colOff>
      <xdr:row>12</xdr:row>
      <xdr:rowOff>0</xdr:rowOff>
    </xdr:from>
    <xdr:to>
      <xdr:col>19</xdr:col>
      <xdr:colOff>193887</xdr:colOff>
      <xdr:row>22</xdr:row>
      <xdr:rowOff>118533</xdr:rowOff>
    </xdr:to>
    <xdr:sp macro="" textlink="">
      <xdr:nvSpPr>
        <xdr:cNvPr id="3" name="Rectangle: Rounded Corners 2">
          <a:extLst>
            <a:ext uri="{FF2B5EF4-FFF2-40B4-BE49-F238E27FC236}">
              <a16:creationId xmlns:a16="http://schemas.microsoft.com/office/drawing/2014/main" id="{84534645-2272-45D4-BAB7-8A279CDBB5CC}"/>
            </a:ext>
          </a:extLst>
        </xdr:cNvPr>
        <xdr:cNvSpPr/>
      </xdr:nvSpPr>
      <xdr:spPr>
        <a:xfrm>
          <a:off x="12327467" y="2667000"/>
          <a:ext cx="2886287" cy="1981200"/>
        </a:xfrm>
        <a:prstGeom prst="round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sr-Latn-RS" sz="1400" b="1"/>
            <a:t> </a:t>
          </a:r>
          <a:r>
            <a:rPr lang="en-US" sz="1600"/>
            <a:t>💡</a:t>
          </a:r>
          <a:r>
            <a:rPr lang="sr-Latn-RS" sz="1400" b="1"/>
            <a:t>Proverite</a:t>
          </a:r>
          <a:r>
            <a:rPr lang="sr-Latn-RS" sz="1400" b="1" baseline="0"/>
            <a:t> koji format datuma je podešen na vašem operativnom sistemu (Locale). Excel koristi isti forma sistema, pa je važno da ga uskladite pre formatiranja.</a:t>
          </a:r>
          <a:endParaRPr lang="en-US" sz="14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518160</xdr:colOff>
      <xdr:row>1</xdr:row>
      <xdr:rowOff>144780</xdr:rowOff>
    </xdr:from>
    <xdr:to>
      <xdr:col>12</xdr:col>
      <xdr:colOff>0</xdr:colOff>
      <xdr:row>9</xdr:row>
      <xdr:rowOff>45720</xdr:rowOff>
    </xdr:to>
    <xdr:sp macro="" textlink="">
      <xdr:nvSpPr>
        <xdr:cNvPr id="2" name="Rectangle: Rounded Corners 1">
          <a:extLst>
            <a:ext uri="{FF2B5EF4-FFF2-40B4-BE49-F238E27FC236}">
              <a16:creationId xmlns:a16="http://schemas.microsoft.com/office/drawing/2014/main" id="{33659D06-42EA-E610-DF93-06D5D92797D2}"/>
            </a:ext>
          </a:extLst>
        </xdr:cNvPr>
        <xdr:cNvSpPr/>
      </xdr:nvSpPr>
      <xdr:spPr>
        <a:xfrm>
          <a:off x="518160" y="426720"/>
          <a:ext cx="13037820" cy="2156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106680</xdr:colOff>
      <xdr:row>1</xdr:row>
      <xdr:rowOff>243840</xdr:rowOff>
    </xdr:from>
    <xdr:to>
      <xdr:col>6</xdr:col>
      <xdr:colOff>38100</xdr:colOff>
      <xdr:row>8</xdr:row>
      <xdr:rowOff>160020</xdr:rowOff>
    </xdr:to>
    <xdr:sp macro="" textlink="">
      <xdr:nvSpPr>
        <xdr:cNvPr id="3" name="TextBox 2">
          <a:extLst>
            <a:ext uri="{FF2B5EF4-FFF2-40B4-BE49-F238E27FC236}">
              <a16:creationId xmlns:a16="http://schemas.microsoft.com/office/drawing/2014/main" id="{544FC034-B5DC-7ACA-8127-45BBE2B56F5C}"/>
            </a:ext>
          </a:extLst>
        </xdr:cNvPr>
        <xdr:cNvSpPr txBox="1"/>
      </xdr:nvSpPr>
      <xdr:spPr>
        <a:xfrm>
          <a:off x="716280" y="525780"/>
          <a:ext cx="5928360" cy="1889760"/>
        </a:xfrm>
        <a:prstGeom prst="rect">
          <a:avLst/>
        </a:prstGeom>
        <a:solidFill>
          <a:srgbClr val="FEF8EC"/>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50" b="0" i="0" u="none" strike="noStrike">
              <a:solidFill>
                <a:schemeClr val="dk1"/>
              </a:solidFill>
              <a:effectLst/>
              <a:latin typeface="+mn-lt"/>
              <a:ea typeface="+mn-ea"/>
              <a:cs typeface="+mn-cs"/>
            </a:rPr>
            <a:t>Za </a:t>
          </a:r>
          <a:r>
            <a:rPr lang="en-US" sz="1050" b="1" i="0" u="none" strike="noStrike">
              <a:solidFill>
                <a:schemeClr val="dk1"/>
              </a:solidFill>
              <a:effectLst/>
              <a:latin typeface="+mn-lt"/>
              <a:ea typeface="+mn-ea"/>
              <a:cs typeface="+mn-cs"/>
            </a:rPr>
            <a:t>VLOOKUP</a:t>
          </a:r>
          <a:r>
            <a:rPr lang="en-US" sz="1050" b="0" i="0" u="none" strike="noStrike">
              <a:solidFill>
                <a:schemeClr val="dk1"/>
              </a:solidFill>
              <a:effectLst/>
              <a:latin typeface="+mn-lt"/>
              <a:ea typeface="+mn-ea"/>
              <a:cs typeface="+mn-cs"/>
            </a:rPr>
            <a:t> prvo razjasni šta želiš da vidiš u ćeliji. To je vrednost koju će funkcija pronaći i prikazati</a:t>
          </a:r>
          <a:endParaRPr lang="sr-Latn-RS" sz="105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050">
              <a:effectLst/>
            </a:rPr>
            <a:t> </a:t>
          </a:r>
        </a:p>
        <a:p>
          <a:r>
            <a:rPr lang="en-US" sz="1050" b="1" i="0" u="none" strike="noStrike">
              <a:solidFill>
                <a:schemeClr val="dk1"/>
              </a:solidFill>
              <a:effectLst/>
              <a:latin typeface="+mn-lt"/>
              <a:ea typeface="+mn-ea"/>
              <a:cs typeface="+mn-cs"/>
            </a:rPr>
            <a:t>=VLOOKUP(podatak_koji_trazis, opseg_tabele, broj_kolone, FALSE)</a:t>
          </a:r>
          <a:r>
            <a:rPr lang="en-US" sz="1050">
              <a:effectLst/>
            </a:rPr>
            <a:t> </a:t>
          </a:r>
          <a:endParaRPr lang="sr-Latn-RS" sz="1050">
            <a:effectLst/>
          </a:endParaRPr>
        </a:p>
        <a:p>
          <a:endParaRPr lang="sr-Latn-RS" sz="1050">
            <a:effectLst/>
          </a:endParaRPr>
        </a:p>
        <a:p>
          <a:r>
            <a:rPr lang="en-US" sz="1050" b="1" i="0" u="none" strike="noStrike">
              <a:solidFill>
                <a:schemeClr val="dk1"/>
              </a:solidFill>
              <a:effectLst/>
              <a:latin typeface="+mn-lt"/>
              <a:ea typeface="+mn-ea"/>
              <a:cs typeface="+mn-cs"/>
            </a:rPr>
            <a:t>podatak_koji_trazis </a:t>
          </a:r>
          <a:r>
            <a:rPr lang="en-US" sz="1050" b="0" i="0" u="none" strike="noStrike">
              <a:solidFill>
                <a:schemeClr val="dk1"/>
              </a:solidFill>
              <a:effectLst/>
              <a:latin typeface="+mn-lt"/>
              <a:ea typeface="+mn-ea"/>
              <a:cs typeface="+mn-cs"/>
            </a:rPr>
            <a:t>=</a:t>
          </a:r>
          <a:r>
            <a:rPr lang="en-US" sz="1050" b="1" i="0" u="none" strike="noStrike">
              <a:solidFill>
                <a:schemeClr val="dk1"/>
              </a:solidFill>
              <a:effectLst/>
              <a:latin typeface="+mn-lt"/>
              <a:ea typeface="+mn-ea"/>
              <a:cs typeface="+mn-cs"/>
            </a:rPr>
            <a:t> </a:t>
          </a:r>
          <a:r>
            <a:rPr lang="en-US" sz="1050" b="0" i="0" u="none" strike="noStrike">
              <a:solidFill>
                <a:schemeClr val="dk1"/>
              </a:solidFill>
              <a:effectLst/>
              <a:latin typeface="+mn-lt"/>
              <a:ea typeface="+mn-ea"/>
              <a:cs typeface="+mn-cs"/>
            </a:rPr>
            <a:t>podatak koji želiš da pronađeš</a:t>
          </a:r>
          <a:r>
            <a:rPr lang="en-US" sz="1050">
              <a:effectLst/>
            </a:rPr>
            <a:t> </a:t>
          </a:r>
          <a:endParaRPr lang="sr-Latn-RS" sz="1050">
            <a:effectLst/>
          </a:endParaRPr>
        </a:p>
        <a:p>
          <a:r>
            <a:rPr lang="sr-Latn-RS" sz="1050" b="1">
              <a:effectLst/>
            </a:rPr>
            <a:t>opseg_tabele </a:t>
          </a:r>
          <a:r>
            <a:rPr lang="sr-Latn-RS" sz="1050">
              <a:effectLst/>
            </a:rPr>
            <a:t>= opseg ćelija u kojem tražiš podatak</a:t>
          </a:r>
        </a:p>
        <a:p>
          <a:r>
            <a:rPr lang="en-US" sz="1050" b="1" i="0" u="none" strike="noStrike">
              <a:solidFill>
                <a:schemeClr val="dk1"/>
              </a:solidFill>
              <a:effectLst/>
              <a:latin typeface="+mn-lt"/>
              <a:ea typeface="+mn-ea"/>
              <a:cs typeface="+mn-cs"/>
            </a:rPr>
            <a:t>broj_kolone</a:t>
          </a:r>
          <a:r>
            <a:rPr lang="en-US" sz="1050" b="0" i="0" u="none" strike="noStrike">
              <a:solidFill>
                <a:schemeClr val="dk1"/>
              </a:solidFill>
              <a:effectLst/>
              <a:latin typeface="+mn-lt"/>
              <a:ea typeface="+mn-ea"/>
              <a:cs typeface="+mn-cs"/>
            </a:rPr>
            <a:t> = kolona iz koje funkcija vraća podatak</a:t>
          </a:r>
          <a:endParaRPr lang="sr-Latn-RS" sz="1050" b="0"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FALSE </a:t>
          </a:r>
          <a:r>
            <a:rPr lang="en-US" sz="1050" b="0" i="0" u="none" strike="noStrike">
              <a:solidFill>
                <a:schemeClr val="dk1"/>
              </a:solidFill>
              <a:effectLst/>
              <a:latin typeface="+mn-lt"/>
              <a:ea typeface="+mn-ea"/>
              <a:cs typeface="+mn-cs"/>
            </a:rPr>
            <a:t>= traži tačno podudaranje</a:t>
          </a:r>
          <a:endParaRPr lang="sr-Latn-RS" sz="1050" b="0" i="0" u="none" strike="noStrike">
            <a:solidFill>
              <a:schemeClr val="dk1"/>
            </a:solidFill>
            <a:effectLst/>
            <a:latin typeface="+mn-lt"/>
            <a:ea typeface="+mn-ea"/>
            <a:cs typeface="+mn-cs"/>
          </a:endParaRPr>
        </a:p>
        <a:p>
          <a:endParaRPr lang="sr-Latn-RS" sz="1050" b="0" i="0" u="none" strike="noStrike">
            <a:solidFill>
              <a:schemeClr val="dk1"/>
            </a:solidFill>
            <a:effectLst/>
            <a:latin typeface="+mn-lt"/>
            <a:ea typeface="+mn-ea"/>
            <a:cs typeface="+mn-cs"/>
          </a:endParaRPr>
        </a:p>
        <a:p>
          <a:r>
            <a:rPr lang="en-US" sz="1050" b="0" i="0" u="none" strike="noStrike">
              <a:solidFill>
                <a:schemeClr val="dk1"/>
              </a:solidFill>
              <a:effectLst/>
              <a:latin typeface="+mn-lt"/>
              <a:ea typeface="+mn-ea"/>
              <a:cs typeface="+mn-cs"/>
            </a:rPr>
            <a:t>💡Kolona po kojoj pretražuješ mora biti sa leve strane u izabranom opsegu</a:t>
          </a:r>
          <a:r>
            <a:rPr lang="en-US" sz="1050">
              <a:effectLst/>
            </a:rPr>
            <a:t>  </a:t>
          </a:r>
          <a:endParaRPr lang="sr-Latn-RS" sz="1050">
            <a:effectLst/>
          </a:endParaRPr>
        </a:p>
        <a:p>
          <a:endParaRPr lang="en-US" sz="1050"/>
        </a:p>
      </xdr:txBody>
    </xdr:sp>
    <xdr:clientData/>
  </xdr:twoCellAnchor>
  <xdr:twoCellAnchor>
    <xdr:from>
      <xdr:col>7</xdr:col>
      <xdr:colOff>137160</xdr:colOff>
      <xdr:row>1</xdr:row>
      <xdr:rowOff>251460</xdr:rowOff>
    </xdr:from>
    <xdr:to>
      <xdr:col>11</xdr:col>
      <xdr:colOff>541020</xdr:colOff>
      <xdr:row>8</xdr:row>
      <xdr:rowOff>160020</xdr:rowOff>
    </xdr:to>
    <xdr:sp macro="" textlink="">
      <xdr:nvSpPr>
        <xdr:cNvPr id="4" name="TextBox 3">
          <a:extLst>
            <a:ext uri="{FF2B5EF4-FFF2-40B4-BE49-F238E27FC236}">
              <a16:creationId xmlns:a16="http://schemas.microsoft.com/office/drawing/2014/main" id="{E2E3D3FF-7A5D-B5B6-42DC-A7B0E7AD4296}"/>
            </a:ext>
          </a:extLst>
        </xdr:cNvPr>
        <xdr:cNvSpPr txBox="1"/>
      </xdr:nvSpPr>
      <xdr:spPr>
        <a:xfrm>
          <a:off x="7536180" y="533400"/>
          <a:ext cx="5836920" cy="1882140"/>
        </a:xfrm>
        <a:prstGeom prst="rect">
          <a:avLst/>
        </a:prstGeom>
        <a:solidFill>
          <a:srgbClr val="FEF8EC"/>
        </a:solidFill>
        <a:ln w="9525" cmpd="sng">
          <a:solidFill>
            <a:schemeClr val="lt1">
              <a:shade val="50000"/>
            </a:schemeClr>
          </a:solidFill>
        </a:ln>
        <a:effectLst>
          <a:softEdge rad="127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50" b="1" i="0" u="none" strike="noStrike">
              <a:solidFill>
                <a:schemeClr val="dk1"/>
              </a:solidFill>
              <a:effectLst/>
              <a:latin typeface="+mn-lt"/>
              <a:ea typeface="+mn-ea"/>
              <a:cs typeface="+mn-cs"/>
            </a:rPr>
            <a:t>XLOOKUP</a:t>
          </a:r>
          <a:r>
            <a:rPr lang="en-US" sz="1050" b="0" i="0" u="none" strike="noStrike">
              <a:solidFill>
                <a:schemeClr val="dk1"/>
              </a:solidFill>
              <a:effectLst/>
              <a:latin typeface="+mn-lt"/>
              <a:ea typeface="+mn-ea"/>
              <a:cs typeface="+mn-cs"/>
            </a:rPr>
            <a:t> postoji u Microsoft 365 i novijim verzijama, a pretraga može biti vertikalna ili horizontalna.</a:t>
          </a:r>
          <a:endParaRPr lang="sr-Latn-RS" sz="105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050" b="0"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=XLOOKUP(podatak_koji_trazis, opseg_gde_trazis, opseg_iz_kojeg_vraca, [ako_nije_pronadjeno])</a:t>
          </a:r>
          <a:r>
            <a:rPr lang="en-US" sz="1050">
              <a:effectLst/>
            </a:rPr>
            <a:t> </a:t>
          </a:r>
          <a:endParaRPr lang="sr-Latn-RS" sz="1050">
            <a:effectLst/>
          </a:endParaRPr>
        </a:p>
        <a:p>
          <a:endParaRPr lang="sr-Latn-RS" sz="1050">
            <a:effectLst/>
          </a:endParaRPr>
        </a:p>
        <a:p>
          <a:r>
            <a:rPr lang="en-US" sz="1050" b="1" i="0" u="none" strike="noStrike">
              <a:solidFill>
                <a:schemeClr val="dk1"/>
              </a:solidFill>
              <a:effectLst/>
              <a:latin typeface="+mn-lt"/>
              <a:ea typeface="+mn-ea"/>
              <a:cs typeface="+mn-cs"/>
            </a:rPr>
            <a:t>podatak_koji_trazis</a:t>
          </a:r>
          <a:r>
            <a:rPr lang="en-US" sz="1050" b="0" i="0" u="none" strike="noStrike">
              <a:solidFill>
                <a:schemeClr val="dk1"/>
              </a:solidFill>
              <a:effectLst/>
              <a:latin typeface="+mn-lt"/>
              <a:ea typeface="+mn-ea"/>
              <a:cs typeface="+mn-cs"/>
            </a:rPr>
            <a:t> = podatak koji želiš da pronađeš</a:t>
          </a:r>
          <a:endParaRPr lang="sr-Latn-RS" sz="1050" b="0"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opseg_gde_trazis</a:t>
          </a:r>
          <a:r>
            <a:rPr lang="en-US" sz="1050" b="0" i="0" u="none" strike="noStrike">
              <a:solidFill>
                <a:schemeClr val="dk1"/>
              </a:solidFill>
              <a:effectLst/>
              <a:latin typeface="+mn-lt"/>
              <a:ea typeface="+mn-ea"/>
              <a:cs typeface="+mn-cs"/>
            </a:rPr>
            <a:t> = kolona ili red u kojem tražiš podatak</a:t>
          </a:r>
          <a:endParaRPr lang="sr-Latn-RS" sz="1050" b="0" i="0" u="none" strike="noStrike">
            <a:solidFill>
              <a:schemeClr val="dk1"/>
            </a:solidFill>
            <a:effectLst/>
            <a:latin typeface="+mn-lt"/>
            <a:ea typeface="+mn-ea"/>
            <a:cs typeface="+mn-cs"/>
          </a:endParaRPr>
        </a:p>
        <a:p>
          <a:r>
            <a:rPr lang="en-US" sz="1050" b="1" i="0" u="none" strike="noStrike">
              <a:solidFill>
                <a:schemeClr val="dk1"/>
              </a:solidFill>
              <a:effectLst/>
              <a:latin typeface="+mn-lt"/>
              <a:ea typeface="+mn-ea"/>
              <a:cs typeface="+mn-cs"/>
            </a:rPr>
            <a:t>opseg_iz_kojeg_vraca</a:t>
          </a:r>
          <a:r>
            <a:rPr lang="en-US" sz="1050" b="0" i="0" u="none" strike="noStrike">
              <a:solidFill>
                <a:schemeClr val="dk1"/>
              </a:solidFill>
              <a:effectLst/>
              <a:latin typeface="+mn-lt"/>
              <a:ea typeface="+mn-ea"/>
              <a:cs typeface="+mn-cs"/>
            </a:rPr>
            <a:t> = kolona ili red iz kojeg funkcija vraća podatak</a:t>
          </a:r>
          <a:endParaRPr lang="sr-Latn-RS" sz="105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050" b="1" i="0" u="none" strike="noStrike">
              <a:solidFill>
                <a:schemeClr val="dk1"/>
              </a:solidFill>
              <a:effectLst/>
              <a:latin typeface="+mn-lt"/>
              <a:ea typeface="+mn-ea"/>
              <a:cs typeface="+mn-cs"/>
            </a:rPr>
            <a:t>[ako_nije_pronadjeno]</a:t>
          </a:r>
          <a:r>
            <a:rPr lang="en-US" sz="1050" b="0" i="0" u="none" strike="noStrike">
              <a:solidFill>
                <a:schemeClr val="dk1"/>
              </a:solidFill>
              <a:effectLst/>
              <a:latin typeface="+mn-lt"/>
              <a:ea typeface="+mn-ea"/>
              <a:cs typeface="+mn-cs"/>
            </a:rPr>
            <a:t> = opcionalno, šta prikazati ako nema podudaranja</a:t>
          </a:r>
          <a:endParaRPr lang="sr-Latn-RS" sz="105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sr-Latn-RS" sz="105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050" b="0" i="0" u="none" strike="noStrike">
              <a:solidFill>
                <a:schemeClr val="dk1"/>
              </a:solidFill>
              <a:effectLst/>
              <a:latin typeface="+mn-lt"/>
              <a:ea typeface="+mn-ea"/>
              <a:cs typeface="+mn-cs"/>
            </a:rPr>
            <a:t>💡 Kolona ili red po kojem pretražuješ može biti bilo gde u izabranom opsegu</a:t>
          </a:r>
        </a:p>
        <a:p>
          <a:endParaRPr lang="sr-Latn-RS" sz="1050" b="0" i="0" u="none" strike="noStrike">
            <a:solidFill>
              <a:schemeClr val="dk1"/>
            </a:solidFill>
            <a:effectLst/>
            <a:latin typeface="+mn-lt"/>
            <a:ea typeface="+mn-ea"/>
            <a:cs typeface="+mn-cs"/>
          </a:endParaRPr>
        </a:p>
        <a:p>
          <a:endParaRPr lang="en-US" sz="1050"/>
        </a:p>
      </xdr:txBody>
    </xdr:sp>
    <xdr:clientData/>
  </xdr:twoCellAnchor>
  <xdr:twoCellAnchor>
    <xdr:from>
      <xdr:col>11</xdr:col>
      <xdr:colOff>60960</xdr:colOff>
      <xdr:row>12</xdr:row>
      <xdr:rowOff>7620</xdr:rowOff>
    </xdr:from>
    <xdr:to>
      <xdr:col>12</xdr:col>
      <xdr:colOff>830580</xdr:colOff>
      <xdr:row>15</xdr:row>
      <xdr:rowOff>175260</xdr:rowOff>
    </xdr:to>
    <xdr:sp macro="" textlink="">
      <xdr:nvSpPr>
        <xdr:cNvPr id="5" name="TextBox 4">
          <a:extLst>
            <a:ext uri="{FF2B5EF4-FFF2-40B4-BE49-F238E27FC236}">
              <a16:creationId xmlns:a16="http://schemas.microsoft.com/office/drawing/2014/main" id="{50179382-6DBB-7E14-A807-39F1370B1AFA}"/>
            </a:ext>
          </a:extLst>
        </xdr:cNvPr>
        <xdr:cNvSpPr txBox="1"/>
      </xdr:nvSpPr>
      <xdr:spPr>
        <a:xfrm>
          <a:off x="12672060" y="3459480"/>
          <a:ext cx="1493520" cy="716280"/>
        </a:xfrm>
        <a:prstGeom prst="rect">
          <a:avLst/>
        </a:prstGeom>
        <a:no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US">
              <a:ln>
                <a:noFill/>
              </a:ln>
            </a:rPr>
            <a:t>💡</a:t>
          </a:r>
          <a:r>
            <a:rPr lang="sr-Latn-RS">
              <a:ln>
                <a:noFill/>
              </a:ln>
            </a:rPr>
            <a:t>Ne</a:t>
          </a:r>
          <a:r>
            <a:rPr lang="sr-Latn-RS" baseline="0">
              <a:ln>
                <a:noFill/>
              </a:ln>
            </a:rPr>
            <a:t> zaboravi da zaključaš ćeliju/opseg</a:t>
          </a:r>
        </a:p>
        <a:p>
          <a:endParaRPr lang="en-US" sz="1100">
            <a:ln>
              <a:noFill/>
            </a:ln>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594360</xdr:colOff>
      <xdr:row>9</xdr:row>
      <xdr:rowOff>114300</xdr:rowOff>
    </xdr:from>
    <xdr:to>
      <xdr:col>12</xdr:col>
      <xdr:colOff>0</xdr:colOff>
      <xdr:row>14</xdr:row>
      <xdr:rowOff>160020</xdr:rowOff>
    </xdr:to>
    <xdr:sp macro="" textlink="">
      <xdr:nvSpPr>
        <xdr:cNvPr id="2" name="Rectangle: Rounded Corners 1">
          <a:extLst>
            <a:ext uri="{FF2B5EF4-FFF2-40B4-BE49-F238E27FC236}">
              <a16:creationId xmlns:a16="http://schemas.microsoft.com/office/drawing/2014/main" id="{657FCC7D-7E36-83B7-13D9-04A356174753}"/>
            </a:ext>
          </a:extLst>
        </xdr:cNvPr>
        <xdr:cNvSpPr/>
      </xdr:nvSpPr>
      <xdr:spPr>
        <a:xfrm>
          <a:off x="594360" y="1836420"/>
          <a:ext cx="6720840" cy="960120"/>
        </a:xfrm>
        <a:prstGeom prst="round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US" sz="1400" b="1"/>
            <a:t>Radite kao analitičar e‑commerce kompanije</a:t>
          </a:r>
        </a:p>
        <a:p>
          <a:r>
            <a:rPr lang="en-US"/>
            <a:t>Pred vama je baza podataka naše kompanije koja sadrži podatke o klijentima, platformama, državama, porudžbinama, prihodima, oglasima i optimizaciji kampanja.</a:t>
          </a:r>
          <a:br>
            <a:rPr lang="en-US"/>
          </a:br>
          <a:r>
            <a:rPr lang="en-US"/>
            <a:t>Vaš zadatak je da </a:t>
          </a:r>
          <a:r>
            <a:rPr lang="en-US" b="1"/>
            <a:t>izvučete zaključke i kreirate interaktivni dashboard</a:t>
          </a:r>
          <a:r>
            <a:rPr lang="en-US"/>
            <a:t> koristeći Pivot tabele, grafikone i slicere.</a:t>
          </a:r>
        </a:p>
        <a:p>
          <a:pPr algn="l"/>
          <a:endParaRPr lang="en-US" sz="1100"/>
        </a:p>
      </xdr:txBody>
    </xdr:sp>
    <xdr:clientData/>
  </xdr:twoCellAnchor>
  <xdr:twoCellAnchor>
    <xdr:from>
      <xdr:col>16</xdr:col>
      <xdr:colOff>76200</xdr:colOff>
      <xdr:row>1</xdr:row>
      <xdr:rowOff>22860</xdr:rowOff>
    </xdr:from>
    <xdr:to>
      <xdr:col>22</xdr:col>
      <xdr:colOff>579120</xdr:colOff>
      <xdr:row>25</xdr:row>
      <xdr:rowOff>175260</xdr:rowOff>
    </xdr:to>
    <xdr:sp macro="" textlink="">
      <xdr:nvSpPr>
        <xdr:cNvPr id="3" name="Rectangle 2">
          <a:extLst>
            <a:ext uri="{FF2B5EF4-FFF2-40B4-BE49-F238E27FC236}">
              <a16:creationId xmlns:a16="http://schemas.microsoft.com/office/drawing/2014/main" id="{98975FC0-E7C1-E9BD-30EA-0881690711D1}"/>
            </a:ext>
          </a:extLst>
        </xdr:cNvPr>
        <xdr:cNvSpPr/>
      </xdr:nvSpPr>
      <xdr:spPr>
        <a:xfrm>
          <a:off x="9669780" y="274320"/>
          <a:ext cx="4160520" cy="4549140"/>
        </a:xfrm>
        <a:prstGeom prst="rect">
          <a:avLst/>
        </a:prstGeom>
        <a:solidFill>
          <a:srgbClr val="E7FFE7"/>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solidFill>
                <a:schemeClr val="bg1">
                  <a:lumMod val="50000"/>
                </a:schemeClr>
              </a:solidFill>
            </a:rPr>
            <a:t>Pivot tabela — osnovni pojmovi</a:t>
          </a:r>
          <a:endParaRPr lang="sr-Latn-RS" sz="1200" b="1">
            <a:solidFill>
              <a:schemeClr val="bg1">
                <a:lumMod val="50000"/>
              </a:schemeClr>
            </a:solidFill>
          </a:endParaRPr>
        </a:p>
        <a:p>
          <a:pPr algn="l"/>
          <a:endParaRPr lang="en-US" sz="1100">
            <a:solidFill>
              <a:schemeClr val="bg1">
                <a:lumMod val="50000"/>
              </a:schemeClr>
            </a:solidFill>
          </a:endParaRPr>
        </a:p>
        <a:p>
          <a:pPr algn="l"/>
          <a:r>
            <a:rPr lang="sr-Latn-RS" sz="1100" b="1">
              <a:solidFill>
                <a:schemeClr val="bg1">
                  <a:lumMod val="50000"/>
                </a:schemeClr>
              </a:solidFill>
            </a:rPr>
            <a:t>•  </a:t>
          </a:r>
          <a:r>
            <a:rPr lang="en-US" sz="1100" b="1">
              <a:solidFill>
                <a:schemeClr val="bg1">
                  <a:lumMod val="50000"/>
                </a:schemeClr>
              </a:solidFill>
            </a:rPr>
            <a:t>Filter</a:t>
          </a:r>
          <a:r>
            <a:rPr lang="en-US" sz="1100">
              <a:solidFill>
                <a:schemeClr val="bg1">
                  <a:lumMod val="50000"/>
                </a:schemeClr>
              </a:solidFill>
            </a:rPr>
            <a:t> </a:t>
          </a:r>
          <a:r>
            <a:rPr lang="sr-Latn-RS" sz="1100">
              <a:solidFill>
                <a:schemeClr val="bg1">
                  <a:lumMod val="50000"/>
                </a:schemeClr>
              </a:solidFill>
            </a:rPr>
            <a:t>=</a:t>
          </a:r>
          <a:r>
            <a:rPr lang="en-US" sz="1100">
              <a:solidFill>
                <a:schemeClr val="bg1">
                  <a:lumMod val="50000"/>
                </a:schemeClr>
              </a:solidFill>
            </a:rPr>
            <a:t> omogućava da prikažeš samo deo podataka prema određenom kriterijumu (npr. samo jedan mesec ili odeljenje)</a:t>
          </a:r>
          <a:endParaRPr lang="sr-Latn-RS" sz="1100">
            <a:solidFill>
              <a:schemeClr val="bg1">
                <a:lumMod val="50000"/>
              </a:schemeClr>
            </a:solidFill>
          </a:endParaRPr>
        </a:p>
        <a:p>
          <a:pPr algn="l"/>
          <a:endParaRPr lang="en-US" sz="1100">
            <a:solidFill>
              <a:schemeClr val="bg1">
                <a:lumMod val="50000"/>
              </a:schemeClr>
            </a:solidFill>
          </a:endParaRPr>
        </a:p>
        <a:p>
          <a:pPr algn="l"/>
          <a:r>
            <a:rPr lang="sr-Latn-RS" sz="1100" b="0">
              <a:solidFill>
                <a:schemeClr val="bg1">
                  <a:lumMod val="50000"/>
                </a:schemeClr>
              </a:solidFill>
            </a:rPr>
            <a:t>• </a:t>
          </a:r>
          <a:r>
            <a:rPr lang="sr-Latn-RS" sz="1100" b="0" baseline="0">
              <a:solidFill>
                <a:schemeClr val="bg1">
                  <a:lumMod val="50000"/>
                </a:schemeClr>
              </a:solidFill>
            </a:rPr>
            <a:t> </a:t>
          </a:r>
          <a:r>
            <a:rPr lang="en-US" sz="1100" b="1">
              <a:solidFill>
                <a:schemeClr val="bg1">
                  <a:lumMod val="50000"/>
                </a:schemeClr>
              </a:solidFill>
            </a:rPr>
            <a:t>Rows</a:t>
          </a:r>
          <a:r>
            <a:rPr lang="en-US" sz="1100">
              <a:solidFill>
                <a:schemeClr val="bg1">
                  <a:lumMod val="50000"/>
                </a:schemeClr>
              </a:solidFill>
            </a:rPr>
            <a:t> (Redovi) </a:t>
          </a:r>
          <a:r>
            <a:rPr lang="sr-Latn-RS" sz="1100">
              <a:solidFill>
                <a:schemeClr val="bg1">
                  <a:lumMod val="50000"/>
                </a:schemeClr>
              </a:solidFill>
            </a:rPr>
            <a:t>=</a:t>
          </a:r>
          <a:r>
            <a:rPr lang="en-US" sz="1100">
              <a:solidFill>
                <a:schemeClr val="bg1">
                  <a:lumMod val="50000"/>
                </a:schemeClr>
              </a:solidFill>
            </a:rPr>
            <a:t> tu postavljaš polja koja želiš da se prikazuju kao redovi u tabeli (npr. imena zaposlenih, odeljenja)</a:t>
          </a:r>
          <a:endParaRPr lang="sr-Latn-RS" sz="1100">
            <a:solidFill>
              <a:schemeClr val="bg1">
                <a:lumMod val="50000"/>
              </a:schemeClr>
            </a:solidFill>
          </a:endParaRPr>
        </a:p>
        <a:p>
          <a:pPr algn="l"/>
          <a:endParaRPr lang="en-US" sz="1100">
            <a:solidFill>
              <a:schemeClr val="bg1">
                <a:lumMod val="50000"/>
              </a:schemeClr>
            </a:solidFill>
          </a:endParaRPr>
        </a:p>
        <a:p>
          <a:pPr algn="l"/>
          <a:r>
            <a:rPr lang="sr-Latn-RS" sz="1100" b="0">
              <a:solidFill>
                <a:schemeClr val="bg1">
                  <a:lumMod val="50000"/>
                </a:schemeClr>
              </a:solidFill>
            </a:rPr>
            <a:t>•  </a:t>
          </a:r>
          <a:r>
            <a:rPr lang="en-US" sz="1100" b="1">
              <a:solidFill>
                <a:schemeClr val="bg1">
                  <a:lumMod val="50000"/>
                </a:schemeClr>
              </a:solidFill>
            </a:rPr>
            <a:t>Columns</a:t>
          </a:r>
          <a:r>
            <a:rPr lang="en-US" sz="1100">
              <a:solidFill>
                <a:schemeClr val="bg1">
                  <a:lumMod val="50000"/>
                </a:schemeClr>
              </a:solidFill>
            </a:rPr>
            <a:t> (Kolone) </a:t>
          </a:r>
          <a:r>
            <a:rPr lang="sr-Latn-RS" sz="1100">
              <a:solidFill>
                <a:schemeClr val="bg1">
                  <a:lumMod val="50000"/>
                </a:schemeClr>
              </a:solidFill>
            </a:rPr>
            <a:t>=</a:t>
          </a:r>
          <a:r>
            <a:rPr lang="en-US" sz="1100">
              <a:solidFill>
                <a:schemeClr val="bg1">
                  <a:lumMod val="50000"/>
                </a:schemeClr>
              </a:solidFill>
            </a:rPr>
            <a:t> tu postavljaš polja koja se prikazuju kao kolone (npr. meseci, godine, tip proizvoda)</a:t>
          </a:r>
          <a:endParaRPr lang="sr-Latn-RS" sz="1100">
            <a:solidFill>
              <a:schemeClr val="bg1">
                <a:lumMod val="50000"/>
              </a:schemeClr>
            </a:solidFill>
          </a:endParaRPr>
        </a:p>
        <a:p>
          <a:pPr algn="l"/>
          <a:endParaRPr lang="en-US" sz="1100">
            <a:solidFill>
              <a:schemeClr val="bg1">
                <a:lumMod val="50000"/>
              </a:schemeClr>
            </a:solidFill>
          </a:endParaRPr>
        </a:p>
        <a:p>
          <a:pPr algn="l"/>
          <a:r>
            <a:rPr lang="sr-Latn-RS" sz="1100" b="0">
              <a:solidFill>
                <a:schemeClr val="bg1">
                  <a:lumMod val="50000"/>
                </a:schemeClr>
              </a:solidFill>
            </a:rPr>
            <a:t>•  </a:t>
          </a:r>
          <a:r>
            <a:rPr lang="en-US" sz="1100" b="1">
              <a:solidFill>
                <a:schemeClr val="bg1">
                  <a:lumMod val="50000"/>
                </a:schemeClr>
              </a:solidFill>
            </a:rPr>
            <a:t>Values</a:t>
          </a:r>
          <a:r>
            <a:rPr lang="en-US" sz="1100">
              <a:solidFill>
                <a:schemeClr val="bg1">
                  <a:lumMod val="50000"/>
                </a:schemeClr>
              </a:solidFill>
            </a:rPr>
            <a:t> (Vrednosti) </a:t>
          </a:r>
          <a:r>
            <a:rPr lang="sr-Latn-RS" sz="1100">
              <a:solidFill>
                <a:schemeClr val="bg1">
                  <a:lumMod val="50000"/>
                </a:schemeClr>
              </a:solidFill>
            </a:rPr>
            <a:t>=</a:t>
          </a:r>
          <a:r>
            <a:rPr lang="en-US" sz="1100">
              <a:solidFill>
                <a:schemeClr val="bg1">
                  <a:lumMod val="50000"/>
                </a:schemeClr>
              </a:solidFill>
            </a:rPr>
            <a:t> tu ide polje koje se računa, sabira ili prosečno prikazuje (npr. prihod, broj zaposlenih)</a:t>
          </a:r>
          <a:endParaRPr lang="sr-Latn-RS" sz="1100">
            <a:solidFill>
              <a:schemeClr val="bg1">
                <a:lumMod val="50000"/>
              </a:schemeClr>
            </a:solidFill>
          </a:endParaRPr>
        </a:p>
        <a:p>
          <a:pPr algn="l"/>
          <a:endParaRPr lang="sr-Latn-RS" sz="1100">
            <a:solidFill>
              <a:schemeClr val="bg1">
                <a:lumMod val="50000"/>
              </a:schemeClr>
            </a:solidFill>
          </a:endParaRPr>
        </a:p>
        <a:p>
          <a:pPr algn="l"/>
          <a:r>
            <a:rPr lang="sr-Latn-RS" sz="1100" b="1">
              <a:solidFill>
                <a:schemeClr val="bg1">
                  <a:lumMod val="50000"/>
                </a:schemeClr>
              </a:solidFill>
            </a:rPr>
            <a:t>Izrada grafikona: </a:t>
          </a:r>
          <a:r>
            <a:rPr lang="sr-Latn-RS" sz="1100">
              <a:solidFill>
                <a:schemeClr val="bg1">
                  <a:lumMod val="50000"/>
                </a:schemeClr>
              </a:solidFill>
            </a:rPr>
            <a:t>Na Pivot tabeli selektujte sve (Ctrl + A), zatim pritisnite Alt + F1 (ili Alt + Fn + F1 na laptopu) da automatski ubacite grafikon, a zatim u kartici Design izaberite Change Chart Type i odaberite tip grafikona (npr. Pie, Bar ili Column)</a:t>
          </a:r>
        </a:p>
        <a:p>
          <a:pPr algn="l"/>
          <a:endParaRPr lang="sr-Latn-RS" sz="1100">
            <a:solidFill>
              <a:schemeClr val="bg1">
                <a:lumMod val="50000"/>
              </a:schemeClr>
            </a:solidFill>
          </a:endParaRPr>
        </a:p>
        <a:p>
          <a:pPr algn="l"/>
          <a:r>
            <a:rPr lang="en-US" sz="1100" b="1">
              <a:solidFill>
                <a:schemeClr val="bg1">
                  <a:lumMod val="50000"/>
                </a:schemeClr>
              </a:solidFill>
            </a:rPr>
            <a:t>Layout opcije</a:t>
          </a:r>
          <a:r>
            <a:rPr lang="en-US" sz="1100">
              <a:solidFill>
                <a:schemeClr val="bg1">
                  <a:lumMod val="50000"/>
                </a:schemeClr>
              </a:solidFill>
            </a:rPr>
            <a:t>: U opciji Design → Layout  možete uključiti ili isključiti ukupne vrednosti (Grand Totals) i međuzbirove (Subtotals), čime se prikazuje zbir po kolonama, redovima ili grupama u Pivot tabeli</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236220</xdr:colOff>
      <xdr:row>0</xdr:row>
      <xdr:rowOff>53340</xdr:rowOff>
    </xdr:from>
    <xdr:to>
      <xdr:col>22</xdr:col>
      <xdr:colOff>571500</xdr:colOff>
      <xdr:row>1</xdr:row>
      <xdr:rowOff>144780</xdr:rowOff>
    </xdr:to>
    <xdr:sp macro="" textlink="">
      <xdr:nvSpPr>
        <xdr:cNvPr id="4" name="Rectangle: Rounded Corners 3">
          <a:extLst>
            <a:ext uri="{FF2B5EF4-FFF2-40B4-BE49-F238E27FC236}">
              <a16:creationId xmlns:a16="http://schemas.microsoft.com/office/drawing/2014/main" id="{4BBB9625-9571-48CF-8BC9-4DAA6920F0D6}"/>
            </a:ext>
          </a:extLst>
        </xdr:cNvPr>
        <xdr:cNvSpPr/>
      </xdr:nvSpPr>
      <xdr:spPr>
        <a:xfrm>
          <a:off x="236220" y="53340"/>
          <a:ext cx="13746480" cy="274320"/>
        </a:xfrm>
        <a:prstGeom prst="roundRect">
          <a:avLst/>
        </a:prstGeom>
        <a:solidFill>
          <a:srgbClr val="156082"/>
        </a:solidFill>
        <a:ln w="19050" cap="flat" cmpd="sng" algn="ctr">
          <a:solidFill>
            <a:srgbClr val="156082">
              <a:shade val="15000"/>
            </a:srgbClr>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chemeClr val="accent2"/>
              </a:solidFill>
              <a:effectLst/>
              <a:uLnTx/>
              <a:uFillTx/>
              <a:latin typeface="Aptos Narrow" panose="02110004020202020204"/>
              <a:ea typeface="+mn-ea"/>
              <a:cs typeface="+mn-cs"/>
            </a:rPr>
            <a:t>DASHBOARD</a:t>
          </a:r>
          <a:endParaRPr kumimoji="0" lang="en-US" sz="1100" b="1" i="0" u="none" strike="noStrike" kern="0" cap="none" spc="0" normalizeH="0" baseline="0" noProof="0">
            <a:ln>
              <a:noFill/>
            </a:ln>
            <a:solidFill>
              <a:schemeClr val="accent2"/>
            </a:solidFill>
            <a:effectLst/>
            <a:uLnTx/>
            <a:uFillTx/>
            <a:latin typeface="Aptos Narrow" panose="02110004020202020204"/>
            <a:ea typeface="+mn-ea"/>
            <a:cs typeface="+mn-cs"/>
          </a:endParaRPr>
        </a:p>
      </xdr:txBody>
    </xdr:sp>
    <xdr:clientData/>
  </xdr:twoCellAnchor>
  <xdr:twoCellAnchor>
    <xdr:from>
      <xdr:col>2</xdr:col>
      <xdr:colOff>259080</xdr:colOff>
      <xdr:row>2</xdr:row>
      <xdr:rowOff>152400</xdr:rowOff>
    </xdr:from>
    <xdr:to>
      <xdr:col>8</xdr:col>
      <xdr:colOff>91440</xdr:colOff>
      <xdr:row>13</xdr:row>
      <xdr:rowOff>160020</xdr:rowOff>
    </xdr:to>
    <xdr:graphicFrame macro="">
      <xdr:nvGraphicFramePr>
        <xdr:cNvPr id="5" name="Chart 4">
          <a:extLst>
            <a:ext uri="{FF2B5EF4-FFF2-40B4-BE49-F238E27FC236}">
              <a16:creationId xmlns:a16="http://schemas.microsoft.com/office/drawing/2014/main" id="{084165F4-829E-41CF-BA1C-12C2B5E99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220980</xdr:colOff>
      <xdr:row>2</xdr:row>
      <xdr:rowOff>106680</xdr:rowOff>
    </xdr:from>
    <xdr:to>
      <xdr:col>20</xdr:col>
      <xdr:colOff>251460</xdr:colOff>
      <xdr:row>13</xdr:row>
      <xdr:rowOff>15240</xdr:rowOff>
    </xdr:to>
    <xdr:graphicFrame macro="">
      <xdr:nvGraphicFramePr>
        <xdr:cNvPr id="6" name="Chart 5">
          <a:extLst>
            <a:ext uri="{FF2B5EF4-FFF2-40B4-BE49-F238E27FC236}">
              <a16:creationId xmlns:a16="http://schemas.microsoft.com/office/drawing/2014/main" id="{AE5802E0-1F69-4EDA-88B9-4D9217910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198120</xdr:colOff>
      <xdr:row>2</xdr:row>
      <xdr:rowOff>160020</xdr:rowOff>
    </xdr:from>
    <xdr:to>
      <xdr:col>14</xdr:col>
      <xdr:colOff>350520</xdr:colOff>
      <xdr:row>13</xdr:row>
      <xdr:rowOff>160020</xdr:rowOff>
    </xdr:to>
    <xdr:graphicFrame macro="">
      <xdr:nvGraphicFramePr>
        <xdr:cNvPr id="7" name="Chart 6">
          <a:extLst>
            <a:ext uri="{FF2B5EF4-FFF2-40B4-BE49-F238E27FC236}">
              <a16:creationId xmlns:a16="http://schemas.microsoft.com/office/drawing/2014/main" id="{4A71B966-59BF-439E-A35C-75362B060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373380</xdr:colOff>
      <xdr:row>14</xdr:row>
      <xdr:rowOff>0</xdr:rowOff>
    </xdr:from>
    <xdr:to>
      <xdr:col>7</xdr:col>
      <xdr:colOff>251460</xdr:colOff>
      <xdr:row>23</xdr:row>
      <xdr:rowOff>152400</xdr:rowOff>
    </xdr:to>
    <xdr:graphicFrame macro="">
      <xdr:nvGraphicFramePr>
        <xdr:cNvPr id="8" name="Chart 7">
          <a:extLst>
            <a:ext uri="{FF2B5EF4-FFF2-40B4-BE49-F238E27FC236}">
              <a16:creationId xmlns:a16="http://schemas.microsoft.com/office/drawing/2014/main" id="{2805385C-A67A-4CF6-8EFA-62099F58E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236220</xdr:colOff>
      <xdr:row>13</xdr:row>
      <xdr:rowOff>160020</xdr:rowOff>
    </xdr:from>
    <xdr:to>
      <xdr:col>20</xdr:col>
      <xdr:colOff>99060</xdr:colOff>
      <xdr:row>24</xdr:row>
      <xdr:rowOff>0</xdr:rowOff>
    </xdr:to>
    <xdr:graphicFrame macro="">
      <xdr:nvGraphicFramePr>
        <xdr:cNvPr id="9" name="Chart 8">
          <a:extLst>
            <a:ext uri="{FF2B5EF4-FFF2-40B4-BE49-F238E27FC236}">
              <a16:creationId xmlns:a16="http://schemas.microsoft.com/office/drawing/2014/main" id="{ECA3001F-31BE-4184-862A-3B074DD07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403860</xdr:colOff>
      <xdr:row>14</xdr:row>
      <xdr:rowOff>83820</xdr:rowOff>
    </xdr:from>
    <xdr:to>
      <xdr:col>14</xdr:col>
      <xdr:colOff>186690</xdr:colOff>
      <xdr:row>23</xdr:row>
      <xdr:rowOff>129540</xdr:rowOff>
    </xdr:to>
    <xdr:graphicFrame macro="">
      <xdr:nvGraphicFramePr>
        <xdr:cNvPr id="10" name="Chart 9">
          <a:extLst>
            <a:ext uri="{FF2B5EF4-FFF2-40B4-BE49-F238E27FC236}">
              <a16:creationId xmlns:a16="http://schemas.microsoft.com/office/drawing/2014/main" id="{388ADE12-DE58-4EF0-B46C-CAF0BD510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228600</xdr:colOff>
      <xdr:row>2</xdr:row>
      <xdr:rowOff>30481</xdr:rowOff>
    </xdr:from>
    <xdr:to>
      <xdr:col>2</xdr:col>
      <xdr:colOff>137160</xdr:colOff>
      <xdr:row>13</xdr:row>
      <xdr:rowOff>83821</xdr:rowOff>
    </xdr:to>
    <mc:AlternateContent xmlns:mc="http://schemas.openxmlformats.org/markup-compatibility/2006" xmlns:a14="http://schemas.microsoft.com/office/drawing/2010/main">
      <mc:Choice Requires="a14">
        <xdr:graphicFrame macro="">
          <xdr:nvGraphicFramePr>
            <xdr:cNvPr id="11" name="Klijent">
              <a:extLst>
                <a:ext uri="{FF2B5EF4-FFF2-40B4-BE49-F238E27FC236}">
                  <a16:creationId xmlns:a16="http://schemas.microsoft.com/office/drawing/2014/main" id="{D8C14E25-8641-BE1A-3F91-6084967D1523}"/>
                </a:ext>
              </a:extLst>
            </xdr:cNvPr>
            <xdr:cNvGraphicFramePr/>
          </xdr:nvGraphicFramePr>
          <xdr:xfrm>
            <a:off x="0" y="0"/>
            <a:ext cx="0" cy="0"/>
          </xdr:xfrm>
          <a:graphic>
            <a:graphicData uri="http://schemas.microsoft.com/office/drawing/2010/slicer">
              <sle:slicer xmlns:sle="http://schemas.microsoft.com/office/drawing/2010/slicer" name="Klijent"/>
            </a:graphicData>
          </a:graphic>
        </xdr:graphicFrame>
      </mc:Choice>
      <mc:Fallback xmlns="">
        <xdr:sp macro="" textlink="">
          <xdr:nvSpPr>
            <xdr:cNvPr id="0" name=""/>
            <xdr:cNvSpPr>
              <a:spLocks noTextEdit="1"/>
            </xdr:cNvSpPr>
          </xdr:nvSpPr>
          <xdr:spPr>
            <a:xfrm>
              <a:off x="228600" y="396241"/>
              <a:ext cx="1127760" cy="2065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434340</xdr:colOff>
      <xdr:row>2</xdr:row>
      <xdr:rowOff>60961</xdr:rowOff>
    </xdr:from>
    <xdr:to>
      <xdr:col>22</xdr:col>
      <xdr:colOff>510540</xdr:colOff>
      <xdr:row>13</xdr:row>
      <xdr:rowOff>167641</xdr:rowOff>
    </xdr:to>
    <mc:AlternateContent xmlns:mc="http://schemas.openxmlformats.org/markup-compatibility/2006" xmlns:a14="http://schemas.microsoft.com/office/drawing/2010/main">
      <mc:Choice Requires="a14">
        <xdr:graphicFrame macro="">
          <xdr:nvGraphicFramePr>
            <xdr:cNvPr id="12" name="Platforma">
              <a:extLst>
                <a:ext uri="{FF2B5EF4-FFF2-40B4-BE49-F238E27FC236}">
                  <a16:creationId xmlns:a16="http://schemas.microsoft.com/office/drawing/2014/main" id="{7D5CD143-2F9D-5629-C2CB-DE05D8A67EE0}"/>
                </a:ext>
              </a:extLst>
            </xdr:cNvPr>
            <xdr:cNvGraphicFramePr/>
          </xdr:nvGraphicFramePr>
          <xdr:xfrm>
            <a:off x="0" y="0"/>
            <a:ext cx="0" cy="0"/>
          </xdr:xfrm>
          <a:graphic>
            <a:graphicData uri="http://schemas.microsoft.com/office/drawing/2010/slicer">
              <sle:slicer xmlns:sle="http://schemas.microsoft.com/office/drawing/2010/slicer" name="Platforma"/>
            </a:graphicData>
          </a:graphic>
        </xdr:graphicFrame>
      </mc:Choice>
      <mc:Fallback xmlns="">
        <xdr:sp macro="" textlink="">
          <xdr:nvSpPr>
            <xdr:cNvPr id="0" name=""/>
            <xdr:cNvSpPr>
              <a:spLocks noTextEdit="1"/>
            </xdr:cNvSpPr>
          </xdr:nvSpPr>
          <xdr:spPr>
            <a:xfrm>
              <a:off x="12626340" y="426721"/>
              <a:ext cx="1295400" cy="2118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114300</xdr:colOff>
      <xdr:row>16</xdr:row>
      <xdr:rowOff>30481</xdr:rowOff>
    </xdr:from>
    <xdr:to>
      <xdr:col>22</xdr:col>
      <xdr:colOff>525780</xdr:colOff>
      <xdr:row>21</xdr:row>
      <xdr:rowOff>83820</xdr:rowOff>
    </xdr:to>
    <mc:AlternateContent xmlns:mc="http://schemas.openxmlformats.org/markup-compatibility/2006" xmlns:a14="http://schemas.microsoft.com/office/drawing/2010/main">
      <mc:Choice Requires="a14">
        <xdr:graphicFrame macro="">
          <xdr:nvGraphicFramePr>
            <xdr:cNvPr id="15" name="Tim optimizovao">
              <a:extLst>
                <a:ext uri="{FF2B5EF4-FFF2-40B4-BE49-F238E27FC236}">
                  <a16:creationId xmlns:a16="http://schemas.microsoft.com/office/drawing/2014/main" id="{5E08E6B7-958B-0283-B621-167139196794}"/>
                </a:ext>
              </a:extLst>
            </xdr:cNvPr>
            <xdr:cNvGraphicFramePr/>
          </xdr:nvGraphicFramePr>
          <xdr:xfrm>
            <a:off x="0" y="0"/>
            <a:ext cx="0" cy="0"/>
          </xdr:xfrm>
          <a:graphic>
            <a:graphicData uri="http://schemas.microsoft.com/office/drawing/2010/slicer">
              <sle:slicer xmlns:sle="http://schemas.microsoft.com/office/drawing/2010/slicer" name="Tim optimizovao"/>
            </a:graphicData>
          </a:graphic>
        </xdr:graphicFrame>
      </mc:Choice>
      <mc:Fallback xmlns="">
        <xdr:sp macro="" textlink="">
          <xdr:nvSpPr>
            <xdr:cNvPr id="0" name=""/>
            <xdr:cNvSpPr>
              <a:spLocks noTextEdit="1"/>
            </xdr:cNvSpPr>
          </xdr:nvSpPr>
          <xdr:spPr>
            <a:xfrm>
              <a:off x="12306300" y="2956561"/>
              <a:ext cx="1630680" cy="967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23</xdr:row>
      <xdr:rowOff>167640</xdr:rowOff>
    </xdr:from>
    <xdr:to>
      <xdr:col>22</xdr:col>
      <xdr:colOff>548640</xdr:colOff>
      <xdr:row>30</xdr:row>
      <xdr:rowOff>175260</xdr:rowOff>
    </xdr:to>
    <mc:AlternateContent xmlns:mc="http://schemas.openxmlformats.org/markup-compatibility/2006" xmlns:tsle="http://schemas.microsoft.com/office/drawing/2012/timeslicer">
      <mc:Choice Requires="tsle">
        <xdr:graphicFrame macro="">
          <xdr:nvGraphicFramePr>
            <xdr:cNvPr id="16" name="Datum">
              <a:extLst>
                <a:ext uri="{FF2B5EF4-FFF2-40B4-BE49-F238E27FC236}">
                  <a16:creationId xmlns:a16="http://schemas.microsoft.com/office/drawing/2014/main" id="{D39EE9FB-0636-96C2-4EA4-AFA296D1AFCF}"/>
                </a:ext>
              </a:extLst>
            </xdr:cNvPr>
            <xdr:cNvGraphicFramePr/>
          </xdr:nvGraphicFramePr>
          <xdr:xfrm>
            <a:off x="0" y="0"/>
            <a:ext cx="0" cy="0"/>
          </xdr:xfrm>
          <a:graphic>
            <a:graphicData uri="http://schemas.microsoft.com/office/drawing/2012/timeslicer">
              <tsle:timeslicer name="Datum"/>
            </a:graphicData>
          </a:graphic>
        </xdr:graphicFrame>
      </mc:Choice>
      <mc:Fallback xmlns="">
        <xdr:sp macro="" textlink="">
          <xdr:nvSpPr>
            <xdr:cNvPr id="0" name=""/>
            <xdr:cNvSpPr>
              <a:spLocks noTextEdit="1"/>
            </xdr:cNvSpPr>
          </xdr:nvSpPr>
          <xdr:spPr>
            <a:xfrm>
              <a:off x="83820" y="4373880"/>
              <a:ext cx="13876020" cy="12877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risnik" refreshedDate="45991.838840046294" createdVersion="8" refreshedVersion="8" minRefreshableVersion="3" recordCount="120" xr:uid="{7C122B47-7F9F-40E4-866E-EB15A73AAB63}">
  <cacheSource type="worksheet">
    <worksheetSource name="Baza_podataka"/>
  </cacheSource>
  <cacheFields count="15">
    <cacheField name="Datum" numFmtId="14">
      <sharedItems containsSemiMixedTypes="0" containsNonDate="0" containsDate="1" containsString="0" minDate="2024-01-01T00:00:00" maxDate="2024-12-27T00:00:00" count="98">
        <d v="2024-03-03T00:00:00"/>
        <d v="2024-01-01T00:00:00"/>
        <d v="2024-11-25T00:00:00"/>
        <d v="2024-11-30T00:00:00"/>
        <d v="2024-12-14T00:00:00"/>
        <d v="2024-08-31T00:00:00"/>
        <d v="2024-03-27T00:00:00"/>
        <d v="2024-10-19T00:00:00"/>
        <d v="2024-10-05T00:00:00"/>
        <d v="2024-02-19T00:00:00"/>
        <d v="2024-05-19T00:00:00"/>
        <d v="2024-08-28T00:00:00"/>
        <d v="2024-05-25T00:00:00"/>
        <d v="2024-12-03T00:00:00"/>
        <d v="2024-03-21T00:00:00"/>
        <d v="2024-04-23T00:00:00"/>
        <d v="2024-10-27T00:00:00"/>
        <d v="2024-02-08T00:00:00"/>
        <d v="2024-10-11T00:00:00"/>
        <d v="2024-01-14T00:00:00"/>
        <d v="2024-11-24T00:00:00"/>
        <d v="2024-08-10T00:00:00"/>
        <d v="2024-08-05T00:00:00"/>
        <d v="2024-04-04T00:00:00"/>
        <d v="2024-04-12T00:00:00"/>
        <d v="2024-04-09T00:00:00"/>
        <d v="2024-07-24T00:00:00"/>
        <d v="2024-05-23T00:00:00"/>
        <d v="2024-03-18T00:00:00"/>
        <d v="2024-09-20T00:00:00"/>
        <d v="2024-09-21T00:00:00"/>
        <d v="2024-10-17T00:00:00"/>
        <d v="2024-03-07T00:00:00"/>
        <d v="2024-08-09T00:00:00"/>
        <d v="2024-11-02T00:00:00"/>
        <d v="2024-09-24T00:00:00"/>
        <d v="2024-01-02T00:00:00"/>
        <d v="2024-02-09T00:00:00"/>
        <d v="2024-11-07T00:00:00"/>
        <d v="2024-08-12T00:00:00"/>
        <d v="2024-05-22T00:00:00"/>
        <d v="2024-06-28T00:00:00"/>
        <d v="2024-07-11T00:00:00"/>
        <d v="2024-10-21T00:00:00"/>
        <d v="2024-03-01T00:00:00"/>
        <d v="2024-04-21T00:00:00"/>
        <d v="2024-09-06T00:00:00"/>
        <d v="2024-01-18T00:00:00"/>
        <d v="2024-02-27T00:00:00"/>
        <d v="2024-11-09T00:00:00"/>
        <d v="2024-01-23T00:00:00"/>
        <d v="2024-11-05T00:00:00"/>
        <d v="2024-06-13T00:00:00"/>
        <d v="2024-05-11T00:00:00"/>
        <d v="2024-12-09T00:00:00"/>
        <d v="2024-09-29T00:00:00"/>
        <d v="2024-03-02T00:00:00"/>
        <d v="2024-11-18T00:00:00"/>
        <d v="2024-04-10T00:00:00"/>
        <d v="2024-03-06T00:00:00"/>
        <d v="2024-03-04T00:00:00"/>
        <d v="2024-12-26T00:00:00"/>
        <d v="2024-04-08T00:00:00"/>
        <d v="2024-11-13T00:00:00"/>
        <d v="2024-01-28T00:00:00"/>
        <d v="2024-04-28T00:00:00"/>
        <d v="2024-09-23T00:00:00"/>
        <d v="2024-09-11T00:00:00"/>
        <d v="2024-01-29T00:00:00"/>
        <d v="2024-06-22T00:00:00"/>
        <d v="2024-01-15T00:00:00"/>
        <d v="2024-10-12T00:00:00"/>
        <d v="2024-10-24T00:00:00"/>
        <d v="2024-07-09T00:00:00"/>
        <d v="2024-08-24T00:00:00"/>
        <d v="2024-09-17T00:00:00"/>
        <d v="2024-12-19T00:00:00"/>
        <d v="2024-03-10T00:00:00"/>
        <d v="2024-10-16T00:00:00"/>
        <d v="2024-10-28T00:00:00"/>
        <d v="2024-09-28T00:00:00"/>
        <d v="2024-03-19T00:00:00"/>
        <d v="2024-06-26T00:00:00"/>
        <d v="2024-09-02T00:00:00"/>
        <d v="2024-06-27T00:00:00"/>
        <d v="2024-11-01T00:00:00"/>
        <d v="2024-10-29T00:00:00"/>
        <d v="2024-11-26T00:00:00"/>
        <d v="2024-12-22T00:00:00"/>
        <d v="2024-01-24T00:00:00"/>
        <d v="2024-08-04T00:00:00"/>
        <d v="2024-10-20T00:00:00"/>
        <d v="2024-02-01T00:00:00"/>
        <d v="2024-01-25T00:00:00"/>
        <d v="2024-11-28T00:00:00"/>
        <d v="2024-11-10T00:00:00"/>
        <d v="2024-01-11T00:00:00"/>
        <d v="2024-05-30T00:00:00"/>
      </sharedItems>
      <fieldGroup par="14"/>
    </cacheField>
    <cacheField name="Klijent" numFmtId="0">
      <sharedItems count="6">
        <s v="UrbanStyle"/>
        <s v="GreenWave"/>
        <s v="EcoHome"/>
        <s v="KidsPlanet"/>
        <s v="FitLife"/>
        <s v="ZenDecor"/>
      </sharedItems>
    </cacheField>
    <cacheField name="Platforma" numFmtId="0">
      <sharedItems count="6">
        <s v="WooCommerce"/>
        <s v="eBay"/>
        <s v="Etsy"/>
        <s v="Amazon"/>
        <s v="TikTok Shop"/>
        <s v="Shopify"/>
      </sharedItems>
    </cacheField>
    <cacheField name="Država" numFmtId="0">
      <sharedItems count="7">
        <s v="Germany"/>
        <s v="France"/>
        <s v="Italy"/>
        <s v="Canada"/>
        <s v="UK"/>
        <s v="Spain"/>
        <s v="USA"/>
      </sharedItems>
    </cacheField>
    <cacheField name="Prikazi" numFmtId="0">
      <sharedItems containsSemiMixedTypes="0" containsString="0" containsNumber="1" containsInteger="1" minValue="572" maxValue="49768"/>
    </cacheField>
    <cacheField name="Klikovi" numFmtId="0">
      <sharedItems containsSemiMixedTypes="0" containsString="0" containsNumber="1" containsInteger="1" minValue="59" maxValue="2957"/>
    </cacheField>
    <cacheField name="Sesije" numFmtId="0">
      <sharedItems containsSemiMixedTypes="0" containsString="0" containsNumber="1" containsInteger="1" minValue="32" maxValue="3478"/>
    </cacheField>
    <cacheField name="Konverzije" numFmtId="0">
      <sharedItems containsSemiMixedTypes="0" containsString="0" containsNumber="1" containsInteger="1" minValue="1" maxValue="196"/>
    </cacheField>
    <cacheField name="Prihod" numFmtId="166">
      <sharedItems containsSemiMixedTypes="0" containsString="0" containsNumber="1" minValue="445.91" maxValue="9952.7000000000007" count="120">
        <n v="6701.1"/>
        <n v="7060.04"/>
        <n v="6878.16"/>
        <n v="974"/>
        <n v="6519.27"/>
        <n v="5926.39"/>
        <n v="9257.94"/>
        <n v="7128.17"/>
        <n v="8064.79"/>
        <n v="8992.01"/>
        <n v="9439.09"/>
        <n v="6432.33"/>
        <n v="1081.0999999999999"/>
        <n v="1532.81"/>
        <n v="6599.62"/>
        <n v="2945.28"/>
        <n v="3426.9"/>
        <n v="7849.84"/>
        <n v="3803.36"/>
        <n v="3507.5"/>
        <n v="6436.93"/>
        <n v="5527.94"/>
        <n v="9743.34"/>
        <n v="5353.36"/>
        <n v="2259.89"/>
        <n v="5331.39"/>
        <n v="4994.54"/>
        <n v="8477.2900000000009"/>
        <n v="9939.4"/>
        <n v="445.91"/>
        <n v="2973.35"/>
        <n v="6458.37"/>
        <n v="4119.37"/>
        <n v="2913.54"/>
        <n v="608.77"/>
        <n v="1903.46"/>
        <n v="9539.6299999999992"/>
        <n v="628.19000000000005"/>
        <n v="4136.21"/>
        <n v="8361.7000000000007"/>
        <n v="4641.29"/>
        <n v="6643.09"/>
        <n v="2240.2399999999998"/>
        <n v="7462.79"/>
        <n v="6266.31"/>
        <n v="6219.26"/>
        <n v="2449.25"/>
        <n v="4998.79"/>
        <n v="736.38"/>
        <n v="4180.5600000000004"/>
        <n v="3934.8"/>
        <n v="8673.89"/>
        <n v="6465.5"/>
        <n v="5151.54"/>
        <n v="6588.16"/>
        <n v="4624.0600000000004"/>
        <n v="4697.21"/>
        <n v="957.98"/>
        <n v="4088.38"/>
        <n v="6651.96"/>
        <n v="4423.8900000000003"/>
        <n v="3423.96"/>
        <n v="2844.46"/>
        <n v="8039.14"/>
        <n v="9572.0300000000007"/>
        <n v="1939.28"/>
        <n v="9952.7000000000007"/>
        <n v="7769"/>
        <n v="5440.47"/>
        <n v="2464.5300000000002"/>
        <n v="2377.92"/>
        <n v="3997.13"/>
        <n v="3556.41"/>
        <n v="823.35"/>
        <n v="7258.67"/>
        <n v="9402.57"/>
        <n v="2944.29"/>
        <n v="5919.34"/>
        <n v="3457.04"/>
        <n v="829.15"/>
        <n v="8771.1200000000008"/>
        <n v="5024.6099999999997"/>
        <n v="3149.89"/>
        <n v="5323.33"/>
        <n v="2954.41"/>
        <n v="6556.18"/>
        <n v="5673.73"/>
        <n v="6435.77"/>
        <n v="7765.79"/>
        <n v="9951.85"/>
        <n v="3080.9"/>
        <n v="7144.2"/>
        <n v="3859.3"/>
        <n v="5135.01"/>
        <n v="9220.3700000000008"/>
        <n v="4327.92"/>
        <n v="9113.1"/>
        <n v="1413.12"/>
        <n v="1533.44"/>
        <n v="3946.11"/>
        <n v="6858.34"/>
        <n v="7397.21"/>
        <n v="4718.88"/>
        <n v="2746.38"/>
        <n v="9420.24"/>
        <n v="1565.7"/>
        <n v="2485.33"/>
        <n v="2700.03"/>
        <n v="5458.39"/>
        <n v="4943.25"/>
        <n v="4348.22"/>
        <n v="4154.3100000000004"/>
        <n v="3650.58"/>
        <n v="8295.18"/>
        <n v="4766.3900000000003"/>
        <n v="3756.41"/>
        <n v="8039.69"/>
        <n v="751.98"/>
        <n v="7710.41"/>
        <n v="8797.6299999999992"/>
      </sharedItems>
    </cacheField>
    <cacheField name="Trošak oglasa" numFmtId="166">
      <sharedItems containsSemiMixedTypes="0" containsString="0" containsNumber="1" minValue="27.79" maxValue="2976.85"/>
    </cacheField>
    <cacheField name="Tim optimizovao" numFmtId="0">
      <sharedItems count="2">
        <s v="Ne"/>
        <s v="Da"/>
      </sharedItems>
    </cacheField>
    <cacheField name="CTR" numFmtId="167">
      <sharedItems containsSemiMixedTypes="0" containsString="0" containsNumber="1" minValue="1.5716150342292427E-3" maxValue="1.18006993006993"/>
    </cacheField>
    <cacheField name="ROAS" numFmtId="2">
      <sharedItems containsSemiMixedTypes="0" containsString="0" containsNumber="1" minValue="0.22903822104253793" maxValue="179.72436128103635" count="120">
        <n v="3.2279368198962417"/>
        <n v="4.1286300745020528"/>
        <n v="6.0316747636669765"/>
        <n v="0.33831661433295357"/>
        <n v="11.759145021645024"/>
        <n v="7.2964431257156228"/>
        <n v="65.631220757124623"/>
        <n v="17.723389442800666"/>
        <n v="13.761266103574782"/>
        <n v="3.2685619361264386"/>
        <n v="3.1708315837210477"/>
        <n v="2.9081484562556796"/>
        <n v="0.8669328971003335"/>
        <n v="1.0084807095110269"/>
        <n v="4.7908735862479492"/>
        <n v="2.0849178146192289"/>
        <n v="7.4324939813911124"/>
        <n v="4.2759777753567931"/>
        <n v="1.4939978631135691"/>
        <n v="1.2218274288501063"/>
        <n v="2.1725247056917594"/>
        <n v="14.987772144348344"/>
        <n v="24.01434451482513"/>
        <n v="5.5123925243268292"/>
        <n v="0.84666711624630975"/>
        <n v="2.6386619087449086"/>
        <n v="179.72436128103635"/>
        <n v="4.2276109354584541"/>
        <n v="26.381950895819507"/>
        <n v="1.2416049451467395"/>
        <n v="14.261355460693558"/>
        <n v="4.0689566099431085"/>
        <n v="1.7595347625332631"/>
        <n v="3.1846143756558236"/>
        <n v="0.45995240074043292"/>
        <n v="1.6016323783078801"/>
        <n v="3.8564371445088104"/>
        <n v="0.22903822104253793"/>
        <n v="11.372899997250405"/>
        <n v="4.4140672427718517"/>
        <n v="2.296156491023237"/>
        <n v="3.8887366899062807"/>
        <n v="1.6777053845577772"/>
        <n v="14.715443467287139"/>
        <n v="2.5494775985808911"/>
        <n v="10.314035058624521"/>
        <n v="3.0942454677531428"/>
        <n v="1.9541026543137485"/>
        <n v="1.0063410500997623"/>
        <n v="1.7666253945850467"/>
        <n v="2.1231775358017764"/>
        <n v="3.7085814944823783"/>
        <n v="4.6937160612132303"/>
        <n v="1.9878756540664022"/>
        <n v="3.3822033071682691"/>
        <n v="2.5188118596151021"/>
        <n v="2.6425489302571545"/>
        <n v="0.45269092094755198"/>
        <n v="1.9051076183242388"/>
        <n v="2.9010868237880083"/>
        <n v="3.9310887182768188"/>
        <n v="1.9798657330041227"/>
        <n v="1.1752121567687719"/>
        <n v="2.7019594662723088"/>
        <n v="13.558308191334156"/>
        <n v="1.2156589876194954"/>
        <n v="44.366335309588557"/>
        <n v="4.2506045717662246"/>
        <n v="3.0095755979908394"/>
        <n v="6.0528280570768969"/>
        <n v="3.0343384332691059"/>
        <n v="5.3326351459522927"/>
        <n v="2.9683501514885946"/>
        <n v="2.4815395280147081"/>
        <n v="6.5366334672117858"/>
        <n v="3.1619838379354523"/>
        <n v="1.0591771320855172"/>
        <n v="29.806838209376103"/>
        <n v="1.2264399948913705"/>
        <n v="1.8538434020480257"/>
        <n v="4.0312346320187151"/>
        <n v="1.8668298953751039"/>
        <n v="26.177096318457576"/>
        <n v="2.244113939792507"/>
        <n v="76.242838709677414"/>
        <n v="6.1000772258250606"/>
        <n v="17.816705919296592"/>
        <n v="14.947093387834732"/>
        <n v="5.5112875868480629"/>
        <n v="19.012761973902911"/>
        <n v="1.0473872262885389"/>
        <n v="2.7483400398544311"/>
        <n v="6.4758788488967189"/>
        <n v="1.8250675291441572"/>
        <n v="4.6812938536367428"/>
        <n v="2.4906741864011739"/>
        <n v="30.448045439358502"/>
        <n v="1.9349061383210326"/>
        <n v="0.86687432515701579"/>
        <n v="19.928841977677898"/>
        <n v="2.4046969558845186"/>
        <n v="4.3048080728136133"/>
        <n v="1.7200845665961946"/>
        <n v="2.13094249734251"/>
        <n v="18.8141402037148"/>
        <n v="0.53697651049294015"/>
        <n v="6.35796878997186"/>
        <n v="1.846262727104887"/>
        <n v="1.9043596882348426"/>
        <n v="2.553714141064519"/>
        <n v="1.5475138888394591"/>
        <n v="2.889291501776984"/>
        <n v="3.4589211775518516"/>
        <n v="3.9743481635508204"/>
        <n v="2.6299645761832773"/>
        <n v="1.8482176683313241"/>
        <n v="4.2370354364736382"/>
        <n v="0.38760457096908879"/>
        <n v="7.8740323931292249"/>
        <n v="36.572978590729576"/>
      </sharedItems>
    </cacheField>
    <cacheField name="ACOS" numFmtId="168">
      <sharedItems containsSemiMixedTypes="0" containsString="0" containsNumber="1" minValue="5.5640759709602887E-3" maxValue="4.3660835097661534"/>
    </cacheField>
    <cacheField name="Quarters (Datum)" numFmtId="0" databaseField="0">
      <fieldGroup base="0">
        <rangePr autoEnd="0" groupBy="quarters" startDate="2024-01-01T00:00:00" endDate="2024-12-31T00:00:00"/>
        <groupItems count="6">
          <s v="&lt;1/1/2024"/>
          <s v="Qtr1"/>
          <s v="Qtr2"/>
          <s v="Qtr3"/>
          <s v="Qtr4"/>
          <s v="&gt;12/31/2024"/>
        </groupItems>
      </fieldGroup>
    </cacheField>
  </cacheFields>
  <extLst>
    <ext xmlns:x14="http://schemas.microsoft.com/office/spreadsheetml/2009/9/main" uri="{725AE2AE-9491-48be-B2B4-4EB974FC3084}">
      <x14:pivotCacheDefinition pivotCacheId="96044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n v="19302"/>
    <n v="263"/>
    <n v="2201"/>
    <n v="196"/>
    <x v="0"/>
    <n v="2075.9699999999998"/>
    <x v="0"/>
    <n v="1.362553103305357E-2"/>
    <x v="0"/>
    <n v="0.30979540672426908"/>
  </r>
  <r>
    <x v="1"/>
    <x v="1"/>
    <x v="1"/>
    <x v="1"/>
    <n v="49499"/>
    <n v="229"/>
    <n v="1821"/>
    <n v="38"/>
    <x v="1"/>
    <n v="1710.02"/>
    <x v="0"/>
    <n v="4.6263560880017776E-3"/>
    <x v="1"/>
    <n v="0.24221109228842896"/>
  </r>
  <r>
    <x v="2"/>
    <x v="2"/>
    <x v="1"/>
    <x v="2"/>
    <n v="2986"/>
    <n v="2671"/>
    <n v="1944"/>
    <n v="145"/>
    <x v="2"/>
    <n v="1140.3399999999999"/>
    <x v="0"/>
    <n v="0.89450770261219026"/>
    <x v="2"/>
    <n v="0.1657914325924375"/>
  </r>
  <r>
    <x v="3"/>
    <x v="2"/>
    <x v="2"/>
    <x v="1"/>
    <n v="30871"/>
    <n v="548"/>
    <n v="3031"/>
    <n v="171"/>
    <x v="3"/>
    <n v="2878.96"/>
    <x v="1"/>
    <n v="1.7751287616209387E-2"/>
    <x v="3"/>
    <n v="2.9558110882956878"/>
  </r>
  <r>
    <x v="4"/>
    <x v="3"/>
    <x v="0"/>
    <x v="2"/>
    <n v="20353"/>
    <n v="921"/>
    <n v="2532"/>
    <n v="11"/>
    <x v="4"/>
    <n v="554.4"/>
    <x v="0"/>
    <n v="4.5251314302559818E-2"/>
    <x v="4"/>
    <n v="8.5040196218288233E-2"/>
  </r>
  <r>
    <x v="5"/>
    <x v="3"/>
    <x v="3"/>
    <x v="2"/>
    <n v="39059"/>
    <n v="809"/>
    <n v="450"/>
    <n v="75"/>
    <x v="5"/>
    <n v="812.23"/>
    <x v="0"/>
    <n v="2.0712255818121302E-2"/>
    <x v="5"/>
    <n v="0.13705307953070925"/>
  </r>
  <r>
    <x v="6"/>
    <x v="1"/>
    <x v="4"/>
    <x v="3"/>
    <n v="45329"/>
    <n v="2854"/>
    <n v="604"/>
    <n v="128"/>
    <x v="6"/>
    <n v="141.06"/>
    <x v="1"/>
    <n v="6.296190076992654E-2"/>
    <x v="6"/>
    <n v="1.5236650918022799E-2"/>
  </r>
  <r>
    <x v="7"/>
    <x v="4"/>
    <x v="3"/>
    <x v="1"/>
    <n v="35450"/>
    <n v="168"/>
    <n v="195"/>
    <n v="167"/>
    <x v="7"/>
    <n v="402.19"/>
    <x v="0"/>
    <n v="4.7390691114245417E-3"/>
    <x v="7"/>
    <n v="5.64226161833963E-2"/>
  </r>
  <r>
    <x v="8"/>
    <x v="5"/>
    <x v="3"/>
    <x v="1"/>
    <n v="17283"/>
    <n v="264"/>
    <n v="2120"/>
    <n v="141"/>
    <x v="8"/>
    <n v="586.04999999999995"/>
    <x v="1"/>
    <n v="1.5275125846207256E-2"/>
    <x v="8"/>
    <n v="7.2667732203814353E-2"/>
  </r>
  <r>
    <x v="9"/>
    <x v="4"/>
    <x v="0"/>
    <x v="2"/>
    <n v="41165"/>
    <n v="1311"/>
    <n v="1165"/>
    <n v="162"/>
    <x v="9"/>
    <n v="2751.06"/>
    <x v="0"/>
    <n v="3.1847443216324545E-2"/>
    <x v="9"/>
    <n v="0.30594494445624504"/>
  </r>
  <r>
    <x v="10"/>
    <x v="4"/>
    <x v="4"/>
    <x v="0"/>
    <n v="16925"/>
    <n v="2491"/>
    <n v="1373"/>
    <n v="127"/>
    <x v="10"/>
    <n v="2976.85"/>
    <x v="0"/>
    <n v="0.14717872968980797"/>
    <x v="10"/>
    <n v="0.31537468124575568"/>
  </r>
  <r>
    <x v="11"/>
    <x v="0"/>
    <x v="3"/>
    <x v="0"/>
    <n v="43591"/>
    <n v="1548"/>
    <n v="2166"/>
    <n v="73"/>
    <x v="11"/>
    <n v="2211.83"/>
    <x v="0"/>
    <n v="3.5511917597669244E-2"/>
    <x v="11"/>
    <n v="0.34386140014582584"/>
  </r>
  <r>
    <x v="12"/>
    <x v="3"/>
    <x v="3"/>
    <x v="4"/>
    <n v="17997"/>
    <n v="247"/>
    <n v="3351"/>
    <n v="119"/>
    <x v="12"/>
    <n v="1247.04"/>
    <x v="1"/>
    <n v="1.3724509640495638E-2"/>
    <x v="12"/>
    <n v="1.1534918138932568"/>
  </r>
  <r>
    <x v="13"/>
    <x v="2"/>
    <x v="4"/>
    <x v="0"/>
    <n v="32998"/>
    <n v="711"/>
    <n v="3307"/>
    <n v="189"/>
    <x v="13"/>
    <n v="1519.92"/>
    <x v="0"/>
    <n v="2.15467604097218E-2"/>
    <x v="13"/>
    <n v="0.99159060809885124"/>
  </r>
  <r>
    <x v="14"/>
    <x v="1"/>
    <x v="4"/>
    <x v="5"/>
    <n v="23145"/>
    <n v="414"/>
    <n v="2598"/>
    <n v="23"/>
    <x v="14"/>
    <n v="1377.54"/>
    <x v="1"/>
    <n v="1.7887232663642255E-2"/>
    <x v="14"/>
    <n v="0.20873019961755374"/>
  </r>
  <r>
    <x v="15"/>
    <x v="3"/>
    <x v="1"/>
    <x v="6"/>
    <n v="19193"/>
    <n v="2643"/>
    <n v="3097"/>
    <n v="85"/>
    <x v="15"/>
    <n v="1412.66"/>
    <x v="0"/>
    <n v="0.13770645547855989"/>
    <x v="15"/>
    <n v="0.4796352129508909"/>
  </r>
  <r>
    <x v="16"/>
    <x v="3"/>
    <x v="2"/>
    <x v="6"/>
    <n v="28617"/>
    <n v="1483"/>
    <n v="1050"/>
    <n v="74"/>
    <x v="16"/>
    <n v="461.07"/>
    <x v="0"/>
    <n v="5.182234336233707E-2"/>
    <x v="16"/>
    <n v="0.13454434036592838"/>
  </r>
  <r>
    <x v="17"/>
    <x v="5"/>
    <x v="1"/>
    <x v="0"/>
    <n v="34052"/>
    <n v="1295"/>
    <n v="2489"/>
    <n v="139"/>
    <x v="17"/>
    <n v="1835.8"/>
    <x v="1"/>
    <n v="3.8030071655115703E-2"/>
    <x v="17"/>
    <n v="0.23386463927927192"/>
  </r>
  <r>
    <x v="18"/>
    <x v="3"/>
    <x v="4"/>
    <x v="4"/>
    <n v="27779"/>
    <n v="2012"/>
    <n v="1941"/>
    <n v="40"/>
    <x v="18"/>
    <n v="2545.7600000000002"/>
    <x v="1"/>
    <n v="7.2428813132222186E-2"/>
    <x v="18"/>
    <n v="0.66934500021034038"/>
  </r>
  <r>
    <x v="19"/>
    <x v="1"/>
    <x v="0"/>
    <x v="4"/>
    <n v="47609"/>
    <n v="2443"/>
    <n v="2258"/>
    <n v="75"/>
    <x v="19"/>
    <n v="2870.7"/>
    <x v="0"/>
    <n v="5.13138272175429E-2"/>
    <x v="19"/>
    <n v="0.8184461867426942"/>
  </r>
  <r>
    <x v="20"/>
    <x v="4"/>
    <x v="5"/>
    <x v="0"/>
    <n v="21303"/>
    <n v="1486"/>
    <n v="1926"/>
    <n v="194"/>
    <x v="20"/>
    <n v="2962.88"/>
    <x v="0"/>
    <n v="6.9755433507017794E-2"/>
    <x v="20"/>
    <n v="0.46029396000888623"/>
  </r>
  <r>
    <x v="21"/>
    <x v="3"/>
    <x v="2"/>
    <x v="4"/>
    <n v="21772"/>
    <n v="1380"/>
    <n v="40"/>
    <n v="184"/>
    <x v="21"/>
    <n v="368.83"/>
    <x v="1"/>
    <n v="6.3384163145324274E-2"/>
    <x v="21"/>
    <n v="6.6721057030286149E-2"/>
  </r>
  <r>
    <x v="22"/>
    <x v="4"/>
    <x v="2"/>
    <x v="1"/>
    <n v="44268"/>
    <n v="2233"/>
    <n v="401"/>
    <n v="34"/>
    <x v="22"/>
    <n v="405.73"/>
    <x v="1"/>
    <n v="5.0442757748260597E-2"/>
    <x v="22"/>
    <n v="4.1641777870832793E-2"/>
  </r>
  <r>
    <x v="23"/>
    <x v="1"/>
    <x v="4"/>
    <x v="5"/>
    <n v="30266"/>
    <n v="1623"/>
    <n v="225"/>
    <n v="108"/>
    <x v="23"/>
    <n v="971.15"/>
    <x v="0"/>
    <n v="5.3624529174651422E-2"/>
    <x v="23"/>
    <n v="0.18140943258065964"/>
  </r>
  <r>
    <x v="24"/>
    <x v="1"/>
    <x v="2"/>
    <x v="0"/>
    <n v="9931"/>
    <n v="1747"/>
    <n v="2482"/>
    <n v="22"/>
    <x v="24"/>
    <n v="2669.16"/>
    <x v="0"/>
    <n v="0.17591380525626826"/>
    <x v="24"/>
    <n v="1.1811017350402011"/>
  </r>
  <r>
    <x v="25"/>
    <x v="4"/>
    <x v="2"/>
    <x v="1"/>
    <n v="38315"/>
    <n v="1529"/>
    <n v="1155"/>
    <n v="95"/>
    <x v="25"/>
    <n v="2020.49"/>
    <x v="0"/>
    <n v="3.9906042020096566E-2"/>
    <x v="25"/>
    <n v="0.3789799658250475"/>
  </r>
  <r>
    <x v="26"/>
    <x v="2"/>
    <x v="4"/>
    <x v="2"/>
    <n v="34788"/>
    <n v="1105"/>
    <n v="567"/>
    <n v="91"/>
    <x v="26"/>
    <n v="27.79"/>
    <x v="1"/>
    <n v="3.1763826606875933E-2"/>
    <x v="26"/>
    <n v="5.5640759709602887E-3"/>
  </r>
  <r>
    <x v="27"/>
    <x v="3"/>
    <x v="4"/>
    <x v="2"/>
    <n v="46687"/>
    <n v="479"/>
    <n v="2016"/>
    <n v="133"/>
    <x v="27"/>
    <n v="2005.22"/>
    <x v="1"/>
    <n v="1.0259815366161886E-2"/>
    <x v="27"/>
    <n v="0.23654021509232312"/>
  </r>
  <r>
    <x v="28"/>
    <x v="0"/>
    <x v="4"/>
    <x v="1"/>
    <n v="572"/>
    <n v="675"/>
    <n v="2303"/>
    <n v="95"/>
    <x v="28"/>
    <n v="376.75"/>
    <x v="1"/>
    <n v="1.18006993006993"/>
    <x v="28"/>
    <n v="3.7904702497132625E-2"/>
  </r>
  <r>
    <x v="29"/>
    <x v="4"/>
    <x v="5"/>
    <x v="3"/>
    <n v="7241"/>
    <n v="581"/>
    <n v="1712"/>
    <n v="135"/>
    <x v="29"/>
    <n v="359.14"/>
    <x v="0"/>
    <n v="8.0237536251898903E-2"/>
    <x v="29"/>
    <n v="0.80540916328407075"/>
  </r>
  <r>
    <x v="30"/>
    <x v="4"/>
    <x v="0"/>
    <x v="0"/>
    <n v="36289"/>
    <n v="1681"/>
    <n v="318"/>
    <n v="118"/>
    <x v="30"/>
    <n v="208.49"/>
    <x v="0"/>
    <n v="4.6322577089476152E-2"/>
    <x v="30"/>
    <n v="7.011956211007786E-2"/>
  </r>
  <r>
    <x v="31"/>
    <x v="0"/>
    <x v="4"/>
    <x v="2"/>
    <n v="21069"/>
    <n v="1667"/>
    <n v="719"/>
    <n v="72"/>
    <x v="31"/>
    <n v="1587.23"/>
    <x v="1"/>
    <n v="7.9120983435378989E-2"/>
    <x v="31"/>
    <n v="0.24576324986025885"/>
  </r>
  <r>
    <x v="32"/>
    <x v="1"/>
    <x v="0"/>
    <x v="4"/>
    <n v="5808"/>
    <n v="219"/>
    <n v="3478"/>
    <n v="162"/>
    <x v="32"/>
    <n v="2341.17"/>
    <x v="1"/>
    <n v="3.7706611570247933E-2"/>
    <x v="32"/>
    <n v="0.56833205077475446"/>
  </r>
  <r>
    <x v="33"/>
    <x v="1"/>
    <x v="1"/>
    <x v="4"/>
    <n v="39387"/>
    <n v="1219"/>
    <n v="2715"/>
    <n v="3"/>
    <x v="33"/>
    <n v="914.88"/>
    <x v="0"/>
    <n v="3.0949297991723159E-2"/>
    <x v="33"/>
    <n v="0.31400976132127928"/>
  </r>
  <r>
    <x v="34"/>
    <x v="3"/>
    <x v="3"/>
    <x v="2"/>
    <n v="17131"/>
    <n v="2508"/>
    <n v="2305"/>
    <n v="156"/>
    <x v="34"/>
    <n v="1323.55"/>
    <x v="0"/>
    <n v="0.1464012608721032"/>
    <x v="34"/>
    <n v="2.1741380159994743"/>
  </r>
  <r>
    <x v="35"/>
    <x v="2"/>
    <x v="1"/>
    <x v="2"/>
    <n v="31518"/>
    <n v="1497"/>
    <n v="1409"/>
    <n v="122"/>
    <x v="35"/>
    <n v="1188.45"/>
    <x v="1"/>
    <n v="4.749666857034076E-2"/>
    <x v="35"/>
    <n v="0.62436300211194351"/>
  </r>
  <r>
    <x v="36"/>
    <x v="4"/>
    <x v="4"/>
    <x v="3"/>
    <n v="39261"/>
    <n v="1155"/>
    <n v="646"/>
    <n v="84"/>
    <x v="36"/>
    <n v="2473.69"/>
    <x v="1"/>
    <n v="2.9418506915259417E-2"/>
    <x v="36"/>
    <n v="0.25930670267085831"/>
  </r>
  <r>
    <x v="37"/>
    <x v="2"/>
    <x v="0"/>
    <x v="3"/>
    <n v="39794"/>
    <n v="425"/>
    <n v="1390"/>
    <n v="185"/>
    <x v="37"/>
    <n v="2742.73"/>
    <x v="1"/>
    <n v="1.068000201035332E-2"/>
    <x v="37"/>
    <n v="4.3660835097661534"/>
  </r>
  <r>
    <x v="38"/>
    <x v="5"/>
    <x v="0"/>
    <x v="6"/>
    <n v="9805"/>
    <n v="871"/>
    <n v="1073"/>
    <n v="89"/>
    <x v="38"/>
    <n v="363.69"/>
    <x v="1"/>
    <n v="8.883222845486996E-2"/>
    <x v="38"/>
    <n v="8.7928320854115241E-2"/>
  </r>
  <r>
    <x v="39"/>
    <x v="4"/>
    <x v="5"/>
    <x v="4"/>
    <n v="5230"/>
    <n v="2487"/>
    <n v="416"/>
    <n v="184"/>
    <x v="39"/>
    <n v="1894.33"/>
    <x v="1"/>
    <n v="0.47552581261950289"/>
    <x v="39"/>
    <n v="0.22654842914718296"/>
  </r>
  <r>
    <x v="40"/>
    <x v="2"/>
    <x v="1"/>
    <x v="3"/>
    <n v="23731"/>
    <n v="2530"/>
    <n v="1521"/>
    <n v="63"/>
    <x v="40"/>
    <n v="2021.33"/>
    <x v="0"/>
    <n v="0.10661160507353251"/>
    <x v="40"/>
    <n v="0.43551038612109993"/>
  </r>
  <r>
    <x v="41"/>
    <x v="0"/>
    <x v="3"/>
    <x v="0"/>
    <n v="10215"/>
    <n v="2750"/>
    <n v="2370"/>
    <n v="122"/>
    <x v="41"/>
    <n v="1708.29"/>
    <x v="1"/>
    <n v="0.26921194322075381"/>
    <x v="41"/>
    <n v="0.25715292130619938"/>
  </r>
  <r>
    <x v="42"/>
    <x v="4"/>
    <x v="1"/>
    <x v="2"/>
    <n v="675"/>
    <n v="381"/>
    <n v="531"/>
    <n v="173"/>
    <x v="42"/>
    <n v="1335.3"/>
    <x v="1"/>
    <n v="0.56444444444444442"/>
    <x v="42"/>
    <n v="0.59605220869192588"/>
  </r>
  <r>
    <x v="43"/>
    <x v="4"/>
    <x v="2"/>
    <x v="2"/>
    <n v="39450"/>
    <n v="1416"/>
    <n v="2243"/>
    <n v="168"/>
    <x v="43"/>
    <n v="507.14"/>
    <x v="1"/>
    <n v="3.5893536121673002E-2"/>
    <x v="43"/>
    <n v="6.7955818132360679E-2"/>
  </r>
  <r>
    <x v="44"/>
    <x v="5"/>
    <x v="2"/>
    <x v="5"/>
    <n v="48791"/>
    <n v="697"/>
    <n v="454"/>
    <n v="91"/>
    <x v="44"/>
    <n v="2457.88"/>
    <x v="1"/>
    <n v="1.4285421491668546E-2"/>
    <x v="44"/>
    <n v="0.39223721775654252"/>
  </r>
  <r>
    <x v="19"/>
    <x v="1"/>
    <x v="0"/>
    <x v="0"/>
    <n v="16177"/>
    <n v="429"/>
    <n v="2500"/>
    <n v="189"/>
    <x v="45"/>
    <n v="602.99"/>
    <x v="1"/>
    <n v="2.6519132101131236E-2"/>
    <x v="45"/>
    <n v="9.6955264774265748E-2"/>
  </r>
  <r>
    <x v="29"/>
    <x v="5"/>
    <x v="1"/>
    <x v="6"/>
    <n v="44249"/>
    <n v="104"/>
    <n v="1055"/>
    <n v="183"/>
    <x v="46"/>
    <n v="791.55"/>
    <x v="0"/>
    <n v="2.3503356008045379E-3"/>
    <x v="46"/>
    <n v="0.3231805654792283"/>
  </r>
  <r>
    <x v="45"/>
    <x v="3"/>
    <x v="2"/>
    <x v="5"/>
    <n v="12569"/>
    <n v="928"/>
    <n v="2911"/>
    <n v="42"/>
    <x v="47"/>
    <n v="2558.1"/>
    <x v="1"/>
    <n v="7.3832444904129213E-2"/>
    <x v="47"/>
    <n v="0.5117438420097663"/>
  </r>
  <r>
    <x v="46"/>
    <x v="1"/>
    <x v="4"/>
    <x v="0"/>
    <n v="17271"/>
    <n v="762"/>
    <n v="1722"/>
    <n v="151"/>
    <x v="48"/>
    <n v="731.74"/>
    <x v="0"/>
    <n v="4.4120201493833597E-2"/>
    <x v="48"/>
    <n v="0.99369890545642192"/>
  </r>
  <r>
    <x v="47"/>
    <x v="3"/>
    <x v="1"/>
    <x v="4"/>
    <n v="33412"/>
    <n v="1656"/>
    <n v="2599"/>
    <n v="131"/>
    <x v="49"/>
    <n v="2366.41"/>
    <x v="1"/>
    <n v="4.9563031246258826E-2"/>
    <x v="49"/>
    <n v="0.56605095968004282"/>
  </r>
  <r>
    <x v="48"/>
    <x v="4"/>
    <x v="5"/>
    <x v="6"/>
    <n v="25578"/>
    <n v="2607"/>
    <n v="298"/>
    <n v="51"/>
    <x v="50"/>
    <n v="1853.26"/>
    <x v="1"/>
    <n v="0.10192352803190241"/>
    <x v="50"/>
    <n v="0.47099217241028768"/>
  </r>
  <r>
    <x v="49"/>
    <x v="1"/>
    <x v="5"/>
    <x v="2"/>
    <n v="1238"/>
    <n v="1229"/>
    <n v="458"/>
    <n v="61"/>
    <x v="51"/>
    <n v="2338.87"/>
    <x v="1"/>
    <n v="0.99273021001615513"/>
    <x v="51"/>
    <n v="0.2696448767508004"/>
  </r>
  <r>
    <x v="50"/>
    <x v="0"/>
    <x v="5"/>
    <x v="1"/>
    <n v="3708"/>
    <n v="2681"/>
    <n v="2440"/>
    <n v="91"/>
    <x v="52"/>
    <n v="1377.48"/>
    <x v="0"/>
    <n v="0.72303128371089531"/>
    <x v="52"/>
    <n v="0.21305080813548835"/>
  </r>
  <r>
    <x v="13"/>
    <x v="3"/>
    <x v="1"/>
    <x v="3"/>
    <n v="2144"/>
    <n v="1408"/>
    <n v="459"/>
    <n v="111"/>
    <x v="53"/>
    <n v="2591.48"/>
    <x v="0"/>
    <n v="0.65671641791044777"/>
    <x v="53"/>
    <n v="0.50304957352558655"/>
  </r>
  <r>
    <x v="51"/>
    <x v="1"/>
    <x v="5"/>
    <x v="5"/>
    <n v="7802"/>
    <n v="858"/>
    <n v="1493"/>
    <n v="179"/>
    <x v="54"/>
    <n v="1947.89"/>
    <x v="1"/>
    <n v="0.10997180210202512"/>
    <x v="54"/>
    <n v="0.29566525403147464"/>
  </r>
  <r>
    <x v="52"/>
    <x v="0"/>
    <x v="4"/>
    <x v="1"/>
    <n v="9106"/>
    <n v="1929"/>
    <n v="1715"/>
    <n v="35"/>
    <x v="55"/>
    <n v="1835.81"/>
    <x v="1"/>
    <n v="0.21183834834175269"/>
    <x v="55"/>
    <n v="0.39701258201666928"/>
  </r>
  <r>
    <x v="53"/>
    <x v="5"/>
    <x v="4"/>
    <x v="0"/>
    <n v="17187"/>
    <n v="1847"/>
    <n v="1558"/>
    <n v="21"/>
    <x v="56"/>
    <n v="1777.53"/>
    <x v="0"/>
    <n v="0.10746494443474719"/>
    <x v="56"/>
    <n v="0.37842251038382357"/>
  </r>
  <r>
    <x v="6"/>
    <x v="1"/>
    <x v="0"/>
    <x v="6"/>
    <n v="14359"/>
    <n v="1879"/>
    <n v="1559"/>
    <n v="151"/>
    <x v="57"/>
    <n v="2116.19"/>
    <x v="1"/>
    <n v="0.1308586948951877"/>
    <x v="57"/>
    <n v="2.209012714252907"/>
  </r>
  <r>
    <x v="54"/>
    <x v="3"/>
    <x v="5"/>
    <x v="1"/>
    <n v="42488"/>
    <n v="453"/>
    <n v="339"/>
    <n v="87"/>
    <x v="58"/>
    <n v="2146.0100000000002"/>
    <x v="0"/>
    <n v="1.0661833929580117E-2"/>
    <x v="58"/>
    <n v="0.52490472999085214"/>
  </r>
  <r>
    <x v="55"/>
    <x v="4"/>
    <x v="5"/>
    <x v="6"/>
    <n v="44091"/>
    <n v="1379"/>
    <n v="32"/>
    <n v="179"/>
    <x v="59"/>
    <n v="2292.92"/>
    <x v="1"/>
    <n v="3.1276224172733666E-2"/>
    <x v="59"/>
    <n v="0.34469840468072571"/>
  </r>
  <r>
    <x v="56"/>
    <x v="3"/>
    <x v="5"/>
    <x v="0"/>
    <n v="32421"/>
    <n v="1000"/>
    <n v="3294"/>
    <n v="20"/>
    <x v="60"/>
    <n v="1125.3599999999999"/>
    <x v="0"/>
    <n v="3.0844205915918695E-2"/>
    <x v="60"/>
    <n v="0.2543824552599635"/>
  </r>
  <r>
    <x v="57"/>
    <x v="3"/>
    <x v="1"/>
    <x v="0"/>
    <n v="35185"/>
    <n v="1936"/>
    <n v="492"/>
    <n v="36"/>
    <x v="61"/>
    <n v="1729.39"/>
    <x v="1"/>
    <n v="5.5023447491828907E-2"/>
    <x v="61"/>
    <n v="0.50508475566303346"/>
  </r>
  <r>
    <x v="49"/>
    <x v="3"/>
    <x v="1"/>
    <x v="6"/>
    <n v="49229"/>
    <n v="866"/>
    <n v="1391"/>
    <n v="22"/>
    <x v="62"/>
    <n v="2420.38"/>
    <x v="0"/>
    <n v="1.7591257185805113E-2"/>
    <x v="62"/>
    <n v="0.85091019033489668"/>
  </r>
  <r>
    <x v="45"/>
    <x v="2"/>
    <x v="1"/>
    <x v="4"/>
    <n v="24858"/>
    <n v="1197"/>
    <n v="1660"/>
    <n v="164"/>
    <x v="63"/>
    <n v="2975.3"/>
    <x v="1"/>
    <n v="4.8153511947863867E-2"/>
    <x v="63"/>
    <n v="0.37010177705575475"/>
  </r>
  <r>
    <x v="18"/>
    <x v="2"/>
    <x v="5"/>
    <x v="4"/>
    <n v="7569"/>
    <n v="1422"/>
    <n v="1849"/>
    <n v="126"/>
    <x v="64"/>
    <n v="705.99"/>
    <x v="0"/>
    <n v="0.187871581450654"/>
    <x v="64"/>
    <n v="7.3755514765415489E-2"/>
  </r>
  <r>
    <x v="58"/>
    <x v="2"/>
    <x v="0"/>
    <x v="4"/>
    <n v="28202"/>
    <n v="431"/>
    <n v="2530"/>
    <n v="187"/>
    <x v="65"/>
    <n v="1595.25"/>
    <x v="1"/>
    <n v="1.5282604070633289E-2"/>
    <x v="65"/>
    <n v="0.82259910894765065"/>
  </r>
  <r>
    <x v="59"/>
    <x v="0"/>
    <x v="3"/>
    <x v="3"/>
    <n v="29100"/>
    <n v="1831"/>
    <n v="2200"/>
    <n v="54"/>
    <x v="66"/>
    <n v="224.33"/>
    <x v="0"/>
    <n v="6.2920962199312716E-2"/>
    <x v="66"/>
    <n v="2.2539612366493513E-2"/>
  </r>
  <r>
    <x v="60"/>
    <x v="5"/>
    <x v="3"/>
    <x v="4"/>
    <n v="37541"/>
    <n v="59"/>
    <n v="986"/>
    <n v="67"/>
    <x v="67"/>
    <n v="1827.74"/>
    <x v="0"/>
    <n v="1.5716150342292427E-3"/>
    <x v="67"/>
    <n v="0.23526065130647444"/>
  </r>
  <r>
    <x v="38"/>
    <x v="5"/>
    <x v="1"/>
    <x v="4"/>
    <n v="46689"/>
    <n v="2204"/>
    <n v="3024"/>
    <n v="160"/>
    <x v="68"/>
    <n v="1807.72"/>
    <x v="0"/>
    <n v="4.7205979995287972E-2"/>
    <x v="68"/>
    <n v="0.33227276319876775"/>
  </r>
  <r>
    <x v="61"/>
    <x v="1"/>
    <x v="2"/>
    <x v="4"/>
    <n v="16786"/>
    <n v="1519"/>
    <n v="2100"/>
    <n v="123"/>
    <x v="69"/>
    <n v="407.17"/>
    <x v="0"/>
    <n v="9.0492076730608842E-2"/>
    <x v="69"/>
    <n v="0.165212028256909"/>
  </r>
  <r>
    <x v="40"/>
    <x v="0"/>
    <x v="2"/>
    <x v="0"/>
    <n v="19497"/>
    <n v="1883"/>
    <n v="1942"/>
    <n v="110"/>
    <x v="70"/>
    <n v="783.67"/>
    <x v="1"/>
    <n v="9.6578960865774222E-2"/>
    <x v="70"/>
    <n v="0.32956112905396312"/>
  </r>
  <r>
    <x v="62"/>
    <x v="2"/>
    <x v="2"/>
    <x v="0"/>
    <n v="47276"/>
    <n v="2754"/>
    <n v="2283"/>
    <n v="171"/>
    <x v="71"/>
    <n v="749.56"/>
    <x v="1"/>
    <n v="5.8253659362044165E-2"/>
    <x v="71"/>
    <n v="0.18752454886380976"/>
  </r>
  <r>
    <x v="63"/>
    <x v="5"/>
    <x v="2"/>
    <x v="4"/>
    <n v="38640"/>
    <n v="2488"/>
    <n v="1024"/>
    <n v="24"/>
    <x v="72"/>
    <n v="1198.1099999999999"/>
    <x v="0"/>
    <n v="6.4389233954451341E-2"/>
    <x v="72"/>
    <n v="0.33688747922764811"/>
  </r>
  <r>
    <x v="61"/>
    <x v="1"/>
    <x v="2"/>
    <x v="3"/>
    <n v="24832"/>
    <n v="504"/>
    <n v="1865"/>
    <n v="181"/>
    <x v="73"/>
    <n v="331.79"/>
    <x v="0"/>
    <n v="2.029639175257732E-2"/>
    <x v="73"/>
    <n v="0.40297564826622945"/>
  </r>
  <r>
    <x v="64"/>
    <x v="3"/>
    <x v="4"/>
    <x v="6"/>
    <n v="18118"/>
    <n v="1850"/>
    <n v="394"/>
    <n v="171"/>
    <x v="74"/>
    <n v="1110.46"/>
    <x v="0"/>
    <n v="0.10210840048570483"/>
    <x v="74"/>
    <n v="0.15298394885013369"/>
  </r>
  <r>
    <x v="57"/>
    <x v="0"/>
    <x v="1"/>
    <x v="2"/>
    <n v="12526"/>
    <n v="128"/>
    <n v="3059"/>
    <n v="175"/>
    <x v="75"/>
    <n v="2973.63"/>
    <x v="0"/>
    <n v="1.0218745010378413E-2"/>
    <x v="75"/>
    <n v="0.31625715097042617"/>
  </r>
  <r>
    <x v="25"/>
    <x v="2"/>
    <x v="5"/>
    <x v="0"/>
    <n v="16778"/>
    <n v="609"/>
    <n v="152"/>
    <n v="1"/>
    <x v="76"/>
    <n v="2779.79"/>
    <x v="1"/>
    <n v="3.629753248301347E-2"/>
    <x v="76"/>
    <n v="0.94412914488722244"/>
  </r>
  <r>
    <x v="65"/>
    <x v="4"/>
    <x v="2"/>
    <x v="1"/>
    <n v="42468"/>
    <n v="828"/>
    <n v="1259"/>
    <n v="193"/>
    <x v="77"/>
    <n v="198.59"/>
    <x v="1"/>
    <n v="1.9497033060186492E-2"/>
    <x v="77"/>
    <n v="3.3549348407085927E-2"/>
  </r>
  <r>
    <x v="66"/>
    <x v="5"/>
    <x v="0"/>
    <x v="2"/>
    <n v="31532"/>
    <n v="1368"/>
    <n v="1757"/>
    <n v="73"/>
    <x v="78"/>
    <n v="2818.76"/>
    <x v="0"/>
    <n v="4.3384498287454012E-2"/>
    <x v="78"/>
    <n v="0.81536806053733835"/>
  </r>
  <r>
    <x v="67"/>
    <x v="5"/>
    <x v="2"/>
    <x v="5"/>
    <n v="17839"/>
    <n v="1270"/>
    <n v="1288"/>
    <n v="51"/>
    <x v="79"/>
    <n v="447.26"/>
    <x v="1"/>
    <n v="7.1192331408711257E-2"/>
    <x v="79"/>
    <n v="0.5394198878369415"/>
  </r>
  <r>
    <x v="28"/>
    <x v="5"/>
    <x v="0"/>
    <x v="0"/>
    <n v="10301"/>
    <n v="2245"/>
    <n v="2064"/>
    <n v="63"/>
    <x v="80"/>
    <n v="2175.79"/>
    <x v="1"/>
    <n v="0.21794000582467721"/>
    <x v="80"/>
    <n v="0.24806296117257542"/>
  </r>
  <r>
    <x v="68"/>
    <x v="2"/>
    <x v="2"/>
    <x v="5"/>
    <n v="30656"/>
    <n v="2367"/>
    <n v="2196"/>
    <n v="37"/>
    <x v="81"/>
    <n v="2691.52"/>
    <x v="1"/>
    <n v="7.7211638830897697E-2"/>
    <x v="81"/>
    <n v="0.53566744483651474"/>
  </r>
  <r>
    <x v="69"/>
    <x v="4"/>
    <x v="5"/>
    <x v="1"/>
    <n v="16359"/>
    <n v="1924"/>
    <n v="2604"/>
    <n v="143"/>
    <x v="82"/>
    <n v="120.33"/>
    <x v="0"/>
    <n v="0.11761110092303931"/>
    <x v="82"/>
    <n v="3.8201334014838613E-2"/>
  </r>
  <r>
    <x v="38"/>
    <x v="3"/>
    <x v="3"/>
    <x v="5"/>
    <n v="8801"/>
    <n v="2257"/>
    <n v="593"/>
    <n v="189"/>
    <x v="83"/>
    <n v="2372.13"/>
    <x v="0"/>
    <n v="0.25644813089421659"/>
    <x v="83"/>
    <n v="0.44561017257994529"/>
  </r>
  <r>
    <x v="70"/>
    <x v="5"/>
    <x v="0"/>
    <x v="2"/>
    <n v="13821"/>
    <n v="85"/>
    <n v="1238"/>
    <n v="60"/>
    <x v="84"/>
    <n v="38.75"/>
    <x v="1"/>
    <n v="6.1500615006150061E-3"/>
    <x v="84"/>
    <n v="1.3115985932893539E-2"/>
  </r>
  <r>
    <x v="16"/>
    <x v="3"/>
    <x v="0"/>
    <x v="3"/>
    <n v="27897"/>
    <n v="160"/>
    <n v="2981"/>
    <n v="175"/>
    <x v="85"/>
    <n v="1074.77"/>
    <x v="0"/>
    <n v="5.735383733017887E-3"/>
    <x v="85"/>
    <n v="0.16393235085064778"/>
  </r>
  <r>
    <x v="71"/>
    <x v="5"/>
    <x v="0"/>
    <x v="2"/>
    <n v="41489"/>
    <n v="1491"/>
    <n v="2824"/>
    <n v="91"/>
    <x v="86"/>
    <n v="318.45"/>
    <x v="1"/>
    <n v="3.5937236375906866E-2"/>
    <x v="86"/>
    <n v="5.6127098046611312E-2"/>
  </r>
  <r>
    <x v="72"/>
    <x v="0"/>
    <x v="1"/>
    <x v="5"/>
    <n v="32128"/>
    <n v="1261"/>
    <n v="2572"/>
    <n v="89"/>
    <x v="87"/>
    <n v="430.57"/>
    <x v="0"/>
    <n v="3.9249252988047809E-2"/>
    <x v="87"/>
    <n v="6.690263946660617E-2"/>
  </r>
  <r>
    <x v="73"/>
    <x v="5"/>
    <x v="3"/>
    <x v="5"/>
    <n v="20655"/>
    <n v="2479"/>
    <n v="1915"/>
    <n v="139"/>
    <x v="88"/>
    <n v="1409.07"/>
    <x v="0"/>
    <n v="0.12001936577099975"/>
    <x v="88"/>
    <n v="0.18144580268073177"/>
  </r>
  <r>
    <x v="2"/>
    <x v="1"/>
    <x v="0"/>
    <x v="6"/>
    <n v="49768"/>
    <n v="608"/>
    <n v="970"/>
    <n v="46"/>
    <x v="89"/>
    <n v="523.42999999999995"/>
    <x v="1"/>
    <n v="1.2216685420350426E-2"/>
    <x v="89"/>
    <n v="5.2596250948316138E-2"/>
  </r>
  <r>
    <x v="74"/>
    <x v="1"/>
    <x v="5"/>
    <x v="0"/>
    <n v="23260"/>
    <n v="2292"/>
    <n v="1305"/>
    <n v="29"/>
    <x v="90"/>
    <n v="2941.51"/>
    <x v="0"/>
    <n v="9.8538263112639718E-2"/>
    <x v="90"/>
    <n v="0.95475672693044245"/>
  </r>
  <r>
    <x v="75"/>
    <x v="1"/>
    <x v="1"/>
    <x v="5"/>
    <n v="18189"/>
    <n v="2125"/>
    <n v="3452"/>
    <n v="192"/>
    <x v="91"/>
    <n v="2599.46"/>
    <x v="1"/>
    <n v="0.11682885260322173"/>
    <x v="91"/>
    <n v="0.36385599507292632"/>
  </r>
  <r>
    <x v="76"/>
    <x v="0"/>
    <x v="0"/>
    <x v="6"/>
    <n v="35710"/>
    <n v="2555"/>
    <n v="3014"/>
    <n v="119"/>
    <x v="92"/>
    <n v="595.95000000000005"/>
    <x v="1"/>
    <n v="7.1548585830299632E-2"/>
    <x v="92"/>
    <n v="0.15441919519083772"/>
  </r>
  <r>
    <x v="77"/>
    <x v="1"/>
    <x v="5"/>
    <x v="3"/>
    <n v="43424"/>
    <n v="1021"/>
    <n v="2859"/>
    <n v="49"/>
    <x v="93"/>
    <n v="2813.6"/>
    <x v="1"/>
    <n v="2.3512343404568901E-2"/>
    <x v="93"/>
    <n v="0.54792493101279249"/>
  </r>
  <r>
    <x v="78"/>
    <x v="5"/>
    <x v="5"/>
    <x v="1"/>
    <n v="13611"/>
    <n v="383"/>
    <n v="725"/>
    <n v="159"/>
    <x v="94"/>
    <n v="1969.62"/>
    <x v="1"/>
    <n v="2.8139005216369112E-2"/>
    <x v="94"/>
    <n v="0.21361615640153267"/>
  </r>
  <r>
    <x v="79"/>
    <x v="0"/>
    <x v="1"/>
    <x v="0"/>
    <n v="28078"/>
    <n v="2004"/>
    <n v="561"/>
    <n v="21"/>
    <x v="95"/>
    <n v="1737.65"/>
    <x v="1"/>
    <n v="7.1372604886387914E-2"/>
    <x v="95"/>
    <n v="0.40149771714819127"/>
  </r>
  <r>
    <x v="80"/>
    <x v="0"/>
    <x v="2"/>
    <x v="2"/>
    <n v="2203"/>
    <n v="2023"/>
    <n v="2592"/>
    <n v="125"/>
    <x v="96"/>
    <n v="299.3"/>
    <x v="1"/>
    <n v="0.91829323649568773"/>
    <x v="96"/>
    <n v="3.2842830650382418E-2"/>
  </r>
  <r>
    <x v="81"/>
    <x v="4"/>
    <x v="5"/>
    <x v="4"/>
    <n v="2476"/>
    <n v="804"/>
    <n v="1844"/>
    <n v="118"/>
    <x v="97"/>
    <n v="730.33"/>
    <x v="1"/>
    <n v="0.32471728594507271"/>
    <x v="97"/>
    <n v="0.51682093523550732"/>
  </r>
  <r>
    <x v="82"/>
    <x v="2"/>
    <x v="2"/>
    <x v="3"/>
    <n v="18660"/>
    <n v="2627"/>
    <n v="641"/>
    <n v="51"/>
    <x v="98"/>
    <n v="1768.93"/>
    <x v="0"/>
    <n v="0.14078242229367632"/>
    <x v="98"/>
    <n v="1.153569751669449"/>
  </r>
  <r>
    <x v="83"/>
    <x v="4"/>
    <x v="1"/>
    <x v="5"/>
    <n v="2100"/>
    <n v="489"/>
    <n v="1714"/>
    <n v="144"/>
    <x v="99"/>
    <n v="198.01"/>
    <x v="0"/>
    <n v="0.23285714285714285"/>
    <x v="99"/>
    <n v="5.0178530248776637E-2"/>
  </r>
  <r>
    <x v="84"/>
    <x v="5"/>
    <x v="4"/>
    <x v="2"/>
    <n v="8665"/>
    <n v="276"/>
    <n v="1556"/>
    <n v="115"/>
    <x v="100"/>
    <n v="2852.06"/>
    <x v="1"/>
    <n v="3.1852279284477786E-2"/>
    <x v="100"/>
    <n v="0.41585281569592641"/>
  </r>
  <r>
    <x v="85"/>
    <x v="2"/>
    <x v="2"/>
    <x v="4"/>
    <n v="8766"/>
    <n v="974"/>
    <n v="564"/>
    <n v="122"/>
    <x v="101"/>
    <n v="1718.36"/>
    <x v="1"/>
    <n v="0.1111111111111111"/>
    <x v="101"/>
    <n v="0.23229839358352675"/>
  </r>
  <r>
    <x v="86"/>
    <x v="5"/>
    <x v="5"/>
    <x v="3"/>
    <n v="16398"/>
    <n v="2731"/>
    <n v="3434"/>
    <n v="31"/>
    <x v="102"/>
    <n v="2743.4"/>
    <x v="0"/>
    <n v="0.16654470057324064"/>
    <x v="102"/>
    <n v="0.58136676499508355"/>
  </r>
  <r>
    <x v="50"/>
    <x v="2"/>
    <x v="2"/>
    <x v="3"/>
    <n v="29570"/>
    <n v="2901"/>
    <n v="1111"/>
    <n v="136"/>
    <x v="103"/>
    <n v="1288.81"/>
    <x v="0"/>
    <n v="9.8106188704768352E-2"/>
    <x v="103"/>
    <n v="0.46927591957413028"/>
  </r>
  <r>
    <x v="87"/>
    <x v="5"/>
    <x v="1"/>
    <x v="5"/>
    <n v="34575"/>
    <n v="1115"/>
    <n v="1259"/>
    <n v="182"/>
    <x v="104"/>
    <n v="500.7"/>
    <x v="0"/>
    <n v="3.2248734634851769E-2"/>
    <x v="104"/>
    <n v="5.3151512063386919E-2"/>
  </r>
  <r>
    <x v="88"/>
    <x v="2"/>
    <x v="0"/>
    <x v="6"/>
    <n v="8113"/>
    <n v="2205"/>
    <n v="2785"/>
    <n v="78"/>
    <x v="105"/>
    <n v="2915.77"/>
    <x v="1"/>
    <n v="0.27178602243313199"/>
    <x v="105"/>
    <n v="1.8622788529092418"/>
  </r>
  <r>
    <x v="89"/>
    <x v="1"/>
    <x v="0"/>
    <x v="4"/>
    <n v="19166"/>
    <n v="1386"/>
    <n v="1365"/>
    <n v="78"/>
    <x v="106"/>
    <n v="390.9"/>
    <x v="1"/>
    <n v="7.2315558802045293E-2"/>
    <x v="106"/>
    <n v="0.15728293627003254"/>
  </r>
  <r>
    <x v="90"/>
    <x v="2"/>
    <x v="0"/>
    <x v="2"/>
    <n v="11454"/>
    <n v="1462"/>
    <n v="1415"/>
    <n v="82"/>
    <x v="107"/>
    <n v="1462.43"/>
    <x v="1"/>
    <n v="0.12764099877771956"/>
    <x v="107"/>
    <n v="0.5416347225771565"/>
  </r>
  <r>
    <x v="91"/>
    <x v="5"/>
    <x v="2"/>
    <x v="5"/>
    <n v="40862"/>
    <n v="153"/>
    <n v="1139"/>
    <n v="97"/>
    <x v="108"/>
    <n v="2866.26"/>
    <x v="0"/>
    <n v="3.7443101169791003E-3"/>
    <x v="108"/>
    <n v="0.52511088434501751"/>
  </r>
  <r>
    <x v="92"/>
    <x v="0"/>
    <x v="1"/>
    <x v="5"/>
    <n v="39013"/>
    <n v="1863"/>
    <n v="2542"/>
    <n v="142"/>
    <x v="109"/>
    <n v="1935.71"/>
    <x v="1"/>
    <n v="4.7753312998231358E-2"/>
    <x v="109"/>
    <n v="0.39158650685277907"/>
  </r>
  <r>
    <x v="93"/>
    <x v="4"/>
    <x v="5"/>
    <x v="4"/>
    <n v="21435"/>
    <n v="972"/>
    <n v="1232"/>
    <n v="25"/>
    <x v="110"/>
    <n v="2809.81"/>
    <x v="1"/>
    <n v="4.5346396081175647E-2"/>
    <x v="110"/>
    <n v="0.64619775448344374"/>
  </r>
  <r>
    <x v="66"/>
    <x v="5"/>
    <x v="2"/>
    <x v="0"/>
    <n v="19533"/>
    <n v="654"/>
    <n v="756"/>
    <n v="66"/>
    <x v="111"/>
    <n v="1437.83"/>
    <x v="0"/>
    <n v="3.3481800030717247E-2"/>
    <x v="111"/>
    <n v="0.34610561079938662"/>
  </r>
  <r>
    <x v="3"/>
    <x v="5"/>
    <x v="2"/>
    <x v="6"/>
    <n v="48479"/>
    <n v="2749"/>
    <n v="2150"/>
    <n v="180"/>
    <x v="112"/>
    <n v="1055.4100000000001"/>
    <x v="1"/>
    <n v="5.6704965036407519E-2"/>
    <x v="112"/>
    <n v="0.28910748429016764"/>
  </r>
  <r>
    <x v="9"/>
    <x v="4"/>
    <x v="1"/>
    <x v="5"/>
    <n v="16978"/>
    <n v="1762"/>
    <n v="3292"/>
    <n v="88"/>
    <x v="113"/>
    <n v="2087.1799999999998"/>
    <x v="1"/>
    <n v="0.1037813641182707"/>
    <x v="113"/>
    <n v="0.25161358764969532"/>
  </r>
  <r>
    <x v="94"/>
    <x v="1"/>
    <x v="0"/>
    <x v="0"/>
    <n v="28632"/>
    <n v="1574"/>
    <n v="922"/>
    <n v="163"/>
    <x v="114"/>
    <n v="1812.34"/>
    <x v="0"/>
    <n v="5.4973456272701872E-2"/>
    <x v="114"/>
    <n v="0.38023325829401283"/>
  </r>
  <r>
    <x v="42"/>
    <x v="1"/>
    <x v="1"/>
    <x v="3"/>
    <n v="14012"/>
    <n v="1887"/>
    <n v="1722"/>
    <n v="174"/>
    <x v="115"/>
    <n v="2032.45"/>
    <x v="0"/>
    <n v="0.13467028261490152"/>
    <x v="115"/>
    <n v="0.54106181167657419"/>
  </r>
  <r>
    <x v="95"/>
    <x v="5"/>
    <x v="4"/>
    <x v="5"/>
    <n v="24082"/>
    <n v="2236"/>
    <n v="1694"/>
    <n v="177"/>
    <x v="116"/>
    <n v="1897.48"/>
    <x v="0"/>
    <n v="9.2849431110372888E-2"/>
    <x v="116"/>
    <n v="0.23601407516956502"/>
  </r>
  <r>
    <x v="96"/>
    <x v="5"/>
    <x v="1"/>
    <x v="0"/>
    <n v="18690"/>
    <n v="2039"/>
    <n v="2842"/>
    <n v="106"/>
    <x v="117"/>
    <n v="1940.07"/>
    <x v="0"/>
    <n v="0.10909577314071696"/>
    <x v="117"/>
    <n v="2.5799489348120961"/>
  </r>
  <r>
    <x v="97"/>
    <x v="1"/>
    <x v="4"/>
    <x v="3"/>
    <n v="43750"/>
    <n v="2957"/>
    <n v="3090"/>
    <n v="10"/>
    <x v="118"/>
    <n v="979.22"/>
    <x v="0"/>
    <n v="6.7588571428571428E-2"/>
    <x v="118"/>
    <n v="0.12699973153178626"/>
  </r>
  <r>
    <x v="50"/>
    <x v="2"/>
    <x v="2"/>
    <x v="6"/>
    <n v="12817"/>
    <n v="1075"/>
    <n v="391"/>
    <n v="150"/>
    <x v="119"/>
    <n v="240.55"/>
    <x v="1"/>
    <n v="8.387298119684794E-2"/>
    <x v="119"/>
    <n v="2.7342591129656514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9428B8-3154-40D1-9DBB-E9FE8F8E8908}"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M6:N13" firstHeaderRow="1" firstDataRow="1" firstDataCol="1"/>
  <pivotFields count="15">
    <pivotField numFmtId="14" showAll="0">
      <items count="99">
        <item x="1"/>
        <item x="36"/>
        <item x="96"/>
        <item x="19"/>
        <item x="70"/>
        <item x="47"/>
        <item x="50"/>
        <item x="89"/>
        <item x="93"/>
        <item x="64"/>
        <item x="68"/>
        <item x="92"/>
        <item x="17"/>
        <item x="37"/>
        <item x="9"/>
        <item x="48"/>
        <item x="44"/>
        <item x="56"/>
        <item x="0"/>
        <item x="60"/>
        <item x="59"/>
        <item x="32"/>
        <item x="77"/>
        <item x="28"/>
        <item x="81"/>
        <item x="14"/>
        <item x="6"/>
        <item x="23"/>
        <item x="62"/>
        <item x="25"/>
        <item x="58"/>
        <item x="24"/>
        <item x="45"/>
        <item x="15"/>
        <item x="65"/>
        <item x="53"/>
        <item x="10"/>
        <item x="40"/>
        <item x="27"/>
        <item x="12"/>
        <item x="97"/>
        <item x="52"/>
        <item x="69"/>
        <item x="82"/>
        <item x="84"/>
        <item x="41"/>
        <item x="73"/>
        <item x="42"/>
        <item x="26"/>
        <item x="90"/>
        <item x="22"/>
        <item x="33"/>
        <item x="21"/>
        <item x="39"/>
        <item x="74"/>
        <item x="11"/>
        <item x="5"/>
        <item x="83"/>
        <item x="46"/>
        <item x="67"/>
        <item x="75"/>
        <item x="29"/>
        <item x="30"/>
        <item x="66"/>
        <item x="35"/>
        <item x="80"/>
        <item x="55"/>
        <item x="8"/>
        <item x="18"/>
        <item x="71"/>
        <item x="78"/>
        <item x="31"/>
        <item x="7"/>
        <item x="91"/>
        <item x="43"/>
        <item x="72"/>
        <item x="16"/>
        <item x="79"/>
        <item x="86"/>
        <item x="85"/>
        <item x="34"/>
        <item x="51"/>
        <item x="38"/>
        <item x="49"/>
        <item x="95"/>
        <item x="63"/>
        <item x="57"/>
        <item x="20"/>
        <item x="2"/>
        <item x="87"/>
        <item x="94"/>
        <item x="3"/>
        <item x="13"/>
        <item x="54"/>
        <item x="4"/>
        <item x="76"/>
        <item x="88"/>
        <item x="61"/>
        <item t="default"/>
      </items>
    </pivotField>
    <pivotField showAll="0">
      <items count="7">
        <item x="2"/>
        <item x="4"/>
        <item x="1"/>
        <item x="3"/>
        <item x="0"/>
        <item x="5"/>
        <item t="default"/>
      </items>
    </pivotField>
    <pivotField axis="axisRow" showAll="0" sortType="descending">
      <items count="7">
        <item x="3"/>
        <item x="1"/>
        <item x="2"/>
        <item x="5"/>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numFmtId="166" showAll="0"/>
    <pivotField numFmtId="166" showAll="0"/>
    <pivotField showAll="0">
      <items count="3">
        <item x="1"/>
        <item x="0"/>
        <item t="default"/>
      </items>
    </pivotField>
    <pivotField showAll="0"/>
    <pivotField showAll="0"/>
    <pivotField showAll="0"/>
    <pivotField showAll="0">
      <items count="7">
        <item x="0"/>
        <item x="1"/>
        <item x="2"/>
        <item x="3"/>
        <item x="4"/>
        <item x="5"/>
        <item t="default"/>
      </items>
    </pivotField>
  </pivotFields>
  <rowFields count="1">
    <field x="2"/>
  </rowFields>
  <rowItems count="7">
    <i>
      <x v="1"/>
    </i>
    <i>
      <x v="2"/>
    </i>
    <i>
      <x v="5"/>
    </i>
    <i>
      <x v="3"/>
    </i>
    <i>
      <x v="4"/>
    </i>
    <i>
      <x/>
    </i>
    <i t="grand">
      <x/>
    </i>
  </rowItems>
  <colItems count="1">
    <i/>
  </colItems>
  <dataFields count="1">
    <dataField name="Sum of Konverzije" fld="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A34F88-EE1B-46E0-A3B5-0F1209AE27F0}"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J6:K12" firstHeaderRow="1" firstDataRow="1" firstDataCol="1"/>
  <pivotFields count="15">
    <pivotField numFmtId="14" showAll="0">
      <items count="99">
        <item x="1"/>
        <item x="36"/>
        <item x="96"/>
        <item x="19"/>
        <item x="70"/>
        <item x="47"/>
        <item x="50"/>
        <item x="89"/>
        <item x="93"/>
        <item x="64"/>
        <item x="68"/>
        <item x="92"/>
        <item x="17"/>
        <item x="37"/>
        <item x="9"/>
        <item x="48"/>
        <item x="44"/>
        <item x="56"/>
        <item x="0"/>
        <item x="60"/>
        <item x="59"/>
        <item x="32"/>
        <item x="77"/>
        <item x="28"/>
        <item x="81"/>
        <item x="14"/>
        <item x="6"/>
        <item x="23"/>
        <item x="62"/>
        <item x="25"/>
        <item x="58"/>
        <item x="24"/>
        <item x="45"/>
        <item x="15"/>
        <item x="65"/>
        <item x="53"/>
        <item x="10"/>
        <item x="40"/>
        <item x="27"/>
        <item x="12"/>
        <item x="97"/>
        <item x="52"/>
        <item x="69"/>
        <item x="82"/>
        <item x="84"/>
        <item x="41"/>
        <item x="73"/>
        <item x="42"/>
        <item x="26"/>
        <item x="90"/>
        <item x="22"/>
        <item x="33"/>
        <item x="21"/>
        <item x="39"/>
        <item x="74"/>
        <item x="11"/>
        <item x="5"/>
        <item x="83"/>
        <item x="46"/>
        <item x="67"/>
        <item x="75"/>
        <item x="29"/>
        <item x="30"/>
        <item x="66"/>
        <item x="35"/>
        <item x="80"/>
        <item x="55"/>
        <item x="8"/>
        <item x="18"/>
        <item x="71"/>
        <item x="78"/>
        <item x="31"/>
        <item x="7"/>
        <item x="91"/>
        <item x="43"/>
        <item x="72"/>
        <item x="16"/>
        <item x="79"/>
        <item x="86"/>
        <item x="85"/>
        <item x="34"/>
        <item x="51"/>
        <item x="38"/>
        <item x="49"/>
        <item x="95"/>
        <item x="63"/>
        <item x="57"/>
        <item x="20"/>
        <item x="2"/>
        <item x="87"/>
        <item x="94"/>
        <item x="3"/>
        <item x="13"/>
        <item x="54"/>
        <item x="4"/>
        <item x="76"/>
        <item x="88"/>
        <item x="61"/>
        <item t="default"/>
      </items>
    </pivotField>
    <pivotField showAll="0">
      <items count="7">
        <item x="2"/>
        <item x="4"/>
        <item x="1"/>
        <item x="3"/>
        <item x="0"/>
        <item x="5"/>
        <item t="default"/>
      </items>
    </pivotField>
    <pivotField showAll="0">
      <items count="7">
        <item x="3"/>
        <item x="1"/>
        <item x="2"/>
        <item x="5"/>
        <item x="4"/>
        <item x="0"/>
        <item t="default"/>
      </items>
    </pivotField>
    <pivotField axis="axisRow" showAll="0" measureFilter="1" sortType="descending">
      <items count="8">
        <item x="3"/>
        <item x="1"/>
        <item x="0"/>
        <item x="2"/>
        <item x="5"/>
        <item x="4"/>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166" showAll="0"/>
    <pivotField numFmtId="166" showAll="0"/>
    <pivotField showAll="0">
      <items count="3">
        <item x="1"/>
        <item x="0"/>
        <item t="default"/>
      </items>
    </pivotField>
    <pivotField showAll="0"/>
    <pivotField showAll="0"/>
    <pivotField showAll="0"/>
    <pivotField showAll="0">
      <items count="7">
        <item x="0"/>
        <item x="1"/>
        <item x="2"/>
        <item x="3"/>
        <item x="4"/>
        <item x="5"/>
        <item t="default"/>
      </items>
    </pivotField>
  </pivotFields>
  <rowFields count="1">
    <field x="3"/>
  </rowFields>
  <rowItems count="6">
    <i>
      <x v="3"/>
    </i>
    <i>
      <x v="2"/>
    </i>
    <i>
      <x v="4"/>
    </i>
    <i>
      <x v="5"/>
    </i>
    <i>
      <x v="1"/>
    </i>
    <i t="grand">
      <x/>
    </i>
  </rowItems>
  <colItems count="1">
    <i/>
  </colItems>
  <dataFields count="1">
    <dataField name="Sum of Prihod" fld="8" baseField="0" baseItem="0" numFmtId="166"/>
  </dataFields>
  <chartFormats count="7">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3" count="1" selected="0">
            <x v="3"/>
          </reference>
        </references>
      </pivotArea>
    </chartFormat>
    <chartFormat chart="11" format="9">
      <pivotArea type="data" outline="0" fieldPosition="0">
        <references count="2">
          <reference field="4294967294" count="1" selected="0">
            <x v="0"/>
          </reference>
          <reference field="3" count="1" selected="0">
            <x v="2"/>
          </reference>
        </references>
      </pivotArea>
    </chartFormat>
    <chartFormat chart="11" format="10">
      <pivotArea type="data" outline="0" fieldPosition="0">
        <references count="2">
          <reference field="4294967294" count="1" selected="0">
            <x v="0"/>
          </reference>
          <reference field="3" count="1" selected="0">
            <x v="4"/>
          </reference>
        </references>
      </pivotArea>
    </chartFormat>
    <chartFormat chart="11" format="11">
      <pivotArea type="data" outline="0" fieldPosition="0">
        <references count="2">
          <reference field="4294967294" count="1" selected="0">
            <x v="0"/>
          </reference>
          <reference field="3" count="1" selected="0">
            <x v="5"/>
          </reference>
        </references>
      </pivotArea>
    </chartFormat>
    <chartFormat chart="11" format="12">
      <pivotArea type="data" outline="0" fieldPosition="0">
        <references count="2">
          <reference field="4294967294" count="1" selected="0">
            <x v="0"/>
          </reference>
          <reference field="3" count="1" selected="0">
            <x v="1"/>
          </reference>
        </references>
      </pivotArea>
    </chartFormat>
    <chartFormat chart="11" format="1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filters count="1">
    <filter fld="3"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FE8B8F-E4A1-44F6-8217-8AB75DF23D01}"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G6:H10" firstHeaderRow="1" firstDataRow="1" firstDataCol="1"/>
  <pivotFields count="15">
    <pivotField numFmtId="14" showAll="0">
      <items count="99">
        <item x="1"/>
        <item x="36"/>
        <item x="96"/>
        <item x="19"/>
        <item x="70"/>
        <item x="47"/>
        <item x="50"/>
        <item x="89"/>
        <item x="93"/>
        <item x="64"/>
        <item x="68"/>
        <item x="92"/>
        <item x="17"/>
        <item x="37"/>
        <item x="9"/>
        <item x="48"/>
        <item x="44"/>
        <item x="56"/>
        <item x="0"/>
        <item x="60"/>
        <item x="59"/>
        <item x="32"/>
        <item x="77"/>
        <item x="28"/>
        <item x="81"/>
        <item x="14"/>
        <item x="6"/>
        <item x="23"/>
        <item x="62"/>
        <item x="25"/>
        <item x="58"/>
        <item x="24"/>
        <item x="45"/>
        <item x="15"/>
        <item x="65"/>
        <item x="53"/>
        <item x="10"/>
        <item x="40"/>
        <item x="27"/>
        <item x="12"/>
        <item x="97"/>
        <item x="52"/>
        <item x="69"/>
        <item x="82"/>
        <item x="84"/>
        <item x="41"/>
        <item x="73"/>
        <item x="42"/>
        <item x="26"/>
        <item x="90"/>
        <item x="22"/>
        <item x="33"/>
        <item x="21"/>
        <item x="39"/>
        <item x="74"/>
        <item x="11"/>
        <item x="5"/>
        <item x="83"/>
        <item x="46"/>
        <item x="67"/>
        <item x="75"/>
        <item x="29"/>
        <item x="30"/>
        <item x="66"/>
        <item x="35"/>
        <item x="80"/>
        <item x="55"/>
        <item x="8"/>
        <item x="18"/>
        <item x="71"/>
        <item x="78"/>
        <item x="31"/>
        <item x="7"/>
        <item x="91"/>
        <item x="43"/>
        <item x="72"/>
        <item x="16"/>
        <item x="79"/>
        <item x="86"/>
        <item x="85"/>
        <item x="34"/>
        <item x="51"/>
        <item x="38"/>
        <item x="49"/>
        <item x="95"/>
        <item x="63"/>
        <item x="57"/>
        <item x="20"/>
        <item x="2"/>
        <item x="87"/>
        <item x="94"/>
        <item x="3"/>
        <item x="13"/>
        <item x="54"/>
        <item x="4"/>
        <item x="76"/>
        <item x="88"/>
        <item x="61"/>
        <item t="default"/>
      </items>
    </pivotField>
    <pivotField showAll="0">
      <items count="7">
        <item x="2"/>
        <item x="4"/>
        <item x="1"/>
        <item x="3"/>
        <item x="0"/>
        <item x="5"/>
        <item t="default"/>
      </items>
    </pivotField>
    <pivotField axis="axisRow" showAll="0" measureFilter="1">
      <items count="7">
        <item x="3"/>
        <item x="1"/>
        <item x="2"/>
        <item x="5"/>
        <item x="4"/>
        <item x="0"/>
        <item t="default"/>
      </items>
    </pivotField>
    <pivotField showAll="0"/>
    <pivotField showAll="0"/>
    <pivotField showAll="0"/>
    <pivotField showAll="0"/>
    <pivotField showAll="0"/>
    <pivotField dataField="1" numFmtId="166" showAll="0">
      <items count="121">
        <item x="29"/>
        <item x="34"/>
        <item x="37"/>
        <item x="48"/>
        <item x="117"/>
        <item x="73"/>
        <item x="79"/>
        <item x="57"/>
        <item x="3"/>
        <item x="12"/>
        <item x="97"/>
        <item x="13"/>
        <item x="98"/>
        <item x="105"/>
        <item x="35"/>
        <item x="65"/>
        <item x="42"/>
        <item x="24"/>
        <item x="70"/>
        <item x="46"/>
        <item x="69"/>
        <item x="106"/>
        <item x="107"/>
        <item x="103"/>
        <item x="62"/>
        <item x="33"/>
        <item x="76"/>
        <item x="15"/>
        <item x="84"/>
        <item x="30"/>
        <item x="90"/>
        <item x="82"/>
        <item x="61"/>
        <item x="16"/>
        <item x="78"/>
        <item x="19"/>
        <item x="72"/>
        <item x="112"/>
        <item x="115"/>
        <item x="18"/>
        <item x="92"/>
        <item x="50"/>
        <item x="99"/>
        <item x="71"/>
        <item x="58"/>
        <item x="32"/>
        <item x="38"/>
        <item x="111"/>
        <item x="49"/>
        <item x="95"/>
        <item x="110"/>
        <item x="60"/>
        <item x="55"/>
        <item x="40"/>
        <item x="56"/>
        <item x="102"/>
        <item x="114"/>
        <item x="109"/>
        <item x="26"/>
        <item x="47"/>
        <item x="81"/>
        <item x="93"/>
        <item x="53"/>
        <item x="83"/>
        <item x="25"/>
        <item x="23"/>
        <item x="68"/>
        <item x="108"/>
        <item x="21"/>
        <item x="86"/>
        <item x="77"/>
        <item x="5"/>
        <item x="45"/>
        <item x="44"/>
        <item x="11"/>
        <item x="87"/>
        <item x="20"/>
        <item x="31"/>
        <item x="52"/>
        <item x="4"/>
        <item x="85"/>
        <item x="54"/>
        <item x="14"/>
        <item x="41"/>
        <item x="59"/>
        <item x="0"/>
        <item x="100"/>
        <item x="2"/>
        <item x="1"/>
        <item x="7"/>
        <item x="91"/>
        <item x="74"/>
        <item x="101"/>
        <item x="43"/>
        <item x="118"/>
        <item x="88"/>
        <item x="67"/>
        <item x="17"/>
        <item x="63"/>
        <item x="116"/>
        <item x="8"/>
        <item x="113"/>
        <item x="39"/>
        <item x="27"/>
        <item x="51"/>
        <item x="80"/>
        <item x="119"/>
        <item x="9"/>
        <item x="96"/>
        <item x="94"/>
        <item x="6"/>
        <item x="75"/>
        <item x="104"/>
        <item x="10"/>
        <item x="36"/>
        <item x="64"/>
        <item x="22"/>
        <item x="28"/>
        <item x="89"/>
        <item x="66"/>
        <item t="default"/>
      </items>
    </pivotField>
    <pivotField numFmtId="166" showAll="0"/>
    <pivotField showAll="0">
      <items count="3">
        <item x="1"/>
        <item x="0"/>
        <item t="default"/>
      </items>
    </pivotField>
    <pivotField showAll="0"/>
    <pivotField showAll="0"/>
    <pivotField showAll="0"/>
    <pivotField showAll="0">
      <items count="7">
        <item x="0"/>
        <item x="1"/>
        <item x="2"/>
        <item x="3"/>
        <item x="4"/>
        <item x="5"/>
        <item t="default"/>
      </items>
    </pivotField>
  </pivotFields>
  <rowFields count="1">
    <field x="2"/>
  </rowFields>
  <rowItems count="4">
    <i>
      <x v="1"/>
    </i>
    <i>
      <x v="2"/>
    </i>
    <i>
      <x v="4"/>
    </i>
    <i t="grand">
      <x/>
    </i>
  </rowItems>
  <colItems count="1">
    <i/>
  </colItems>
  <dataFields count="1">
    <dataField name="Sum of Prihod" fld="8" baseField="0" baseItem="0" numFmtId="16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DC0396-C11B-4CB6-8225-7BE86B422527}"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D6:E10" firstHeaderRow="1" firstDataRow="1" firstDataCol="1"/>
  <pivotFields count="15">
    <pivotField numFmtId="14" showAll="0">
      <items count="99">
        <item x="1"/>
        <item x="36"/>
        <item x="96"/>
        <item x="19"/>
        <item x="70"/>
        <item x="47"/>
        <item x="50"/>
        <item x="89"/>
        <item x="93"/>
        <item x="64"/>
        <item x="68"/>
        <item x="92"/>
        <item x="17"/>
        <item x="37"/>
        <item x="9"/>
        <item x="48"/>
        <item x="44"/>
        <item x="56"/>
        <item x="0"/>
        <item x="60"/>
        <item x="59"/>
        <item x="32"/>
        <item x="77"/>
        <item x="28"/>
        <item x="81"/>
        <item x="14"/>
        <item x="6"/>
        <item x="23"/>
        <item x="62"/>
        <item x="25"/>
        <item x="58"/>
        <item x="24"/>
        <item x="45"/>
        <item x="15"/>
        <item x="65"/>
        <item x="53"/>
        <item x="10"/>
        <item x="40"/>
        <item x="27"/>
        <item x="12"/>
        <item x="97"/>
        <item x="52"/>
        <item x="69"/>
        <item x="82"/>
        <item x="84"/>
        <item x="41"/>
        <item x="73"/>
        <item x="42"/>
        <item x="26"/>
        <item x="90"/>
        <item x="22"/>
        <item x="33"/>
        <item x="21"/>
        <item x="39"/>
        <item x="74"/>
        <item x="11"/>
        <item x="5"/>
        <item x="83"/>
        <item x="46"/>
        <item x="67"/>
        <item x="75"/>
        <item x="29"/>
        <item x="30"/>
        <item x="66"/>
        <item x="35"/>
        <item x="80"/>
        <item x="55"/>
        <item x="8"/>
        <item x="18"/>
        <item x="71"/>
        <item x="78"/>
        <item x="31"/>
        <item x="7"/>
        <item x="91"/>
        <item x="43"/>
        <item x="72"/>
        <item x="16"/>
        <item x="79"/>
        <item x="86"/>
        <item x="85"/>
        <item x="34"/>
        <item x="51"/>
        <item x="38"/>
        <item x="49"/>
        <item x="95"/>
        <item x="63"/>
        <item x="57"/>
        <item x="20"/>
        <item x="2"/>
        <item x="87"/>
        <item x="94"/>
        <item x="3"/>
        <item x="13"/>
        <item x="54"/>
        <item x="4"/>
        <item x="76"/>
        <item x="88"/>
        <item x="61"/>
        <item t="default"/>
      </items>
    </pivotField>
    <pivotField axis="axisRow" showAll="0" measureFilter="1" sortType="descending">
      <items count="7">
        <item x="2"/>
        <item x="4"/>
        <item x="1"/>
        <item x="3"/>
        <item x="0"/>
        <item x="5"/>
        <item t="default"/>
      </items>
      <autoSortScope>
        <pivotArea dataOnly="0" outline="0" fieldPosition="0">
          <references count="1">
            <reference field="4294967294" count="1" selected="0">
              <x v="0"/>
            </reference>
          </references>
        </pivotArea>
      </autoSortScope>
    </pivotField>
    <pivotField showAll="0">
      <items count="7">
        <item x="3"/>
        <item x="1"/>
        <item x="2"/>
        <item x="5"/>
        <item x="4"/>
        <item x="0"/>
        <item t="default"/>
      </items>
    </pivotField>
    <pivotField showAll="0"/>
    <pivotField showAll="0"/>
    <pivotField showAll="0"/>
    <pivotField showAll="0"/>
    <pivotField showAll="0"/>
    <pivotField dataField="1" numFmtId="166" showAll="0"/>
    <pivotField numFmtId="166" showAll="0"/>
    <pivotField showAll="0">
      <items count="3">
        <item x="1"/>
        <item x="0"/>
        <item t="default"/>
      </items>
    </pivotField>
    <pivotField showAll="0"/>
    <pivotField showAll="0">
      <items count="121">
        <item x="37"/>
        <item x="3"/>
        <item x="117"/>
        <item x="57"/>
        <item x="34"/>
        <item x="105"/>
        <item x="24"/>
        <item x="98"/>
        <item x="12"/>
        <item x="48"/>
        <item x="13"/>
        <item x="90"/>
        <item x="76"/>
        <item x="62"/>
        <item x="65"/>
        <item x="19"/>
        <item x="78"/>
        <item x="29"/>
        <item x="18"/>
        <item x="110"/>
        <item x="35"/>
        <item x="42"/>
        <item x="102"/>
        <item x="32"/>
        <item x="49"/>
        <item x="93"/>
        <item x="107"/>
        <item x="115"/>
        <item x="79"/>
        <item x="81"/>
        <item x="108"/>
        <item x="58"/>
        <item x="97"/>
        <item x="47"/>
        <item x="61"/>
        <item x="53"/>
        <item x="15"/>
        <item x="50"/>
        <item x="103"/>
        <item x="20"/>
        <item x="83"/>
        <item x="40"/>
        <item x="100"/>
        <item x="73"/>
        <item x="95"/>
        <item x="55"/>
        <item x="44"/>
        <item x="109"/>
        <item x="114"/>
        <item x="25"/>
        <item x="56"/>
        <item x="63"/>
        <item x="91"/>
        <item x="111"/>
        <item x="59"/>
        <item x="11"/>
        <item x="72"/>
        <item x="68"/>
        <item x="70"/>
        <item x="46"/>
        <item x="75"/>
        <item x="10"/>
        <item x="33"/>
        <item x="0"/>
        <item x="9"/>
        <item x="54"/>
        <item x="112"/>
        <item x="51"/>
        <item x="36"/>
        <item x="41"/>
        <item x="60"/>
        <item x="113"/>
        <item x="80"/>
        <item x="31"/>
        <item x="1"/>
        <item x="27"/>
        <item x="116"/>
        <item x="67"/>
        <item x="17"/>
        <item x="101"/>
        <item x="39"/>
        <item x="94"/>
        <item x="52"/>
        <item x="14"/>
        <item x="71"/>
        <item x="88"/>
        <item x="23"/>
        <item x="2"/>
        <item x="69"/>
        <item x="85"/>
        <item x="106"/>
        <item x="92"/>
        <item x="74"/>
        <item x="5"/>
        <item x="16"/>
        <item x="118"/>
        <item x="45"/>
        <item x="38"/>
        <item x="4"/>
        <item x="64"/>
        <item x="8"/>
        <item x="30"/>
        <item x="43"/>
        <item x="87"/>
        <item x="21"/>
        <item x="7"/>
        <item x="86"/>
        <item x="104"/>
        <item x="89"/>
        <item x="99"/>
        <item x="22"/>
        <item x="82"/>
        <item x="28"/>
        <item x="77"/>
        <item x="96"/>
        <item x="119"/>
        <item x="66"/>
        <item x="6"/>
        <item x="84"/>
        <item x="26"/>
        <item t="default"/>
      </items>
    </pivotField>
    <pivotField showAll="0"/>
    <pivotField showAll="0">
      <items count="7">
        <item x="0"/>
        <item x="1"/>
        <item x="2"/>
        <item x="3"/>
        <item x="4"/>
        <item x="5"/>
        <item t="default"/>
      </items>
    </pivotField>
  </pivotFields>
  <rowFields count="1">
    <field x="1"/>
  </rowFields>
  <rowItems count="4">
    <i>
      <x v="5"/>
    </i>
    <i>
      <x v="1"/>
    </i>
    <i>
      <x v="2"/>
    </i>
    <i t="grand">
      <x/>
    </i>
  </rowItems>
  <colItems count="1">
    <i/>
  </colItems>
  <dataFields count="1">
    <dataField name="Sum of Prihod" fld="8" baseField="0" baseItem="0" numFmtId="166"/>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0"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A31F36-9511-41B5-8183-137CB778D3AB}"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G18:H23" firstHeaderRow="1" firstDataRow="1" firstDataCol="1"/>
  <pivotFields count="15">
    <pivotField numFmtId="14" showAll="0">
      <items count="99">
        <item x="1"/>
        <item x="36"/>
        <item x="96"/>
        <item x="19"/>
        <item x="70"/>
        <item x="47"/>
        <item x="50"/>
        <item x="89"/>
        <item x="93"/>
        <item x="64"/>
        <item x="68"/>
        <item x="92"/>
        <item x="17"/>
        <item x="37"/>
        <item x="9"/>
        <item x="48"/>
        <item x="44"/>
        <item x="56"/>
        <item x="0"/>
        <item x="60"/>
        <item x="59"/>
        <item x="32"/>
        <item x="77"/>
        <item x="28"/>
        <item x="81"/>
        <item x="14"/>
        <item x="6"/>
        <item x="23"/>
        <item x="62"/>
        <item x="25"/>
        <item x="58"/>
        <item x="24"/>
        <item x="45"/>
        <item x="15"/>
        <item x="65"/>
        <item x="53"/>
        <item x="10"/>
        <item x="40"/>
        <item x="27"/>
        <item x="12"/>
        <item x="97"/>
        <item x="52"/>
        <item x="69"/>
        <item x="82"/>
        <item x="84"/>
        <item x="41"/>
        <item x="73"/>
        <item x="42"/>
        <item x="26"/>
        <item x="90"/>
        <item x="22"/>
        <item x="33"/>
        <item x="21"/>
        <item x="39"/>
        <item x="74"/>
        <item x="11"/>
        <item x="5"/>
        <item x="83"/>
        <item x="46"/>
        <item x="67"/>
        <item x="75"/>
        <item x="29"/>
        <item x="30"/>
        <item x="66"/>
        <item x="35"/>
        <item x="80"/>
        <item x="55"/>
        <item x="8"/>
        <item x="18"/>
        <item x="71"/>
        <item x="78"/>
        <item x="31"/>
        <item x="7"/>
        <item x="91"/>
        <item x="43"/>
        <item x="72"/>
        <item x="16"/>
        <item x="79"/>
        <item x="86"/>
        <item x="85"/>
        <item x="34"/>
        <item x="51"/>
        <item x="38"/>
        <item x="49"/>
        <item x="95"/>
        <item x="63"/>
        <item x="57"/>
        <item x="20"/>
        <item x="2"/>
        <item x="87"/>
        <item x="94"/>
        <item x="3"/>
        <item x="13"/>
        <item x="54"/>
        <item x="4"/>
        <item x="76"/>
        <item x="88"/>
        <item x="61"/>
        <item t="default"/>
      </items>
    </pivotField>
    <pivotField showAll="0">
      <items count="7">
        <item x="2"/>
        <item x="4"/>
        <item x="1"/>
        <item x="3"/>
        <item x="0"/>
        <item x="5"/>
        <item t="default"/>
      </items>
    </pivotField>
    <pivotField showAll="0">
      <items count="7">
        <item x="3"/>
        <item x="1"/>
        <item x="2"/>
        <item x="5"/>
        <item x="4"/>
        <item x="0"/>
        <item t="default"/>
      </items>
    </pivotField>
    <pivotField showAll="0"/>
    <pivotField showAll="0"/>
    <pivotField showAll="0"/>
    <pivotField showAll="0"/>
    <pivotField showAll="0"/>
    <pivotField dataField="1" numFmtId="166" showAll="0"/>
    <pivotField numFmtId="166" showAll="0"/>
    <pivotField showAll="0">
      <items count="3">
        <item x="1"/>
        <item x="0"/>
        <item t="default"/>
      </items>
    </pivotField>
    <pivotField numFmtId="167" showAll="0"/>
    <pivotField numFmtId="2" showAll="0"/>
    <pivotField numFmtId="168" showAll="0"/>
    <pivotField axis="axisRow" showAll="0">
      <items count="7">
        <item x="0"/>
        <item x="1"/>
        <item x="2"/>
        <item x="3"/>
        <item x="4"/>
        <item x="5"/>
        <item t="default"/>
      </items>
    </pivotField>
  </pivotFields>
  <rowFields count="1">
    <field x="14"/>
  </rowFields>
  <rowItems count="5">
    <i>
      <x v="1"/>
    </i>
    <i>
      <x v="2"/>
    </i>
    <i>
      <x v="3"/>
    </i>
    <i>
      <x v="4"/>
    </i>
    <i t="grand">
      <x/>
    </i>
  </rowItems>
  <colItems count="1">
    <i/>
  </colItems>
  <dataFields count="1">
    <dataField name="Sum of Prihod" fld="8" baseField="0" baseItem="0" numFmtId="166"/>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AFFD2E-6DF9-4135-8775-984EAED73DFC}"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D18:E25" firstHeaderRow="1" firstDataRow="1" firstDataCol="1"/>
  <pivotFields count="15">
    <pivotField numFmtId="14" showAll="0">
      <items count="99">
        <item x="1"/>
        <item x="36"/>
        <item x="96"/>
        <item x="19"/>
        <item x="70"/>
        <item x="47"/>
        <item x="50"/>
        <item x="89"/>
        <item x="93"/>
        <item x="64"/>
        <item x="68"/>
        <item x="92"/>
        <item x="17"/>
        <item x="37"/>
        <item x="9"/>
        <item x="48"/>
        <item x="44"/>
        <item x="56"/>
        <item x="0"/>
        <item x="60"/>
        <item x="59"/>
        <item x="32"/>
        <item x="77"/>
        <item x="28"/>
        <item x="81"/>
        <item x="14"/>
        <item x="6"/>
        <item x="23"/>
        <item x="62"/>
        <item x="25"/>
        <item x="58"/>
        <item x="24"/>
        <item x="45"/>
        <item x="15"/>
        <item x="65"/>
        <item x="53"/>
        <item x="10"/>
        <item x="40"/>
        <item x="27"/>
        <item x="12"/>
        <item x="97"/>
        <item x="52"/>
        <item x="69"/>
        <item x="82"/>
        <item x="84"/>
        <item x="41"/>
        <item x="73"/>
        <item x="42"/>
        <item x="26"/>
        <item x="90"/>
        <item x="22"/>
        <item x="33"/>
        <item x="21"/>
        <item x="39"/>
        <item x="74"/>
        <item x="11"/>
        <item x="5"/>
        <item x="83"/>
        <item x="46"/>
        <item x="67"/>
        <item x="75"/>
        <item x="29"/>
        <item x="30"/>
        <item x="66"/>
        <item x="35"/>
        <item x="80"/>
        <item x="55"/>
        <item x="8"/>
        <item x="18"/>
        <item x="71"/>
        <item x="78"/>
        <item x="31"/>
        <item x="7"/>
        <item x="91"/>
        <item x="43"/>
        <item x="72"/>
        <item x="16"/>
        <item x="79"/>
        <item x="86"/>
        <item x="85"/>
        <item x="34"/>
        <item x="51"/>
        <item x="38"/>
        <item x="49"/>
        <item x="95"/>
        <item x="63"/>
        <item x="57"/>
        <item x="20"/>
        <item x="2"/>
        <item x="87"/>
        <item x="94"/>
        <item x="3"/>
        <item x="13"/>
        <item x="54"/>
        <item x="4"/>
        <item x="76"/>
        <item x="88"/>
        <item x="61"/>
        <item t="default"/>
      </items>
    </pivotField>
    <pivotField showAll="0">
      <items count="7">
        <item x="2"/>
        <item x="4"/>
        <item x="1"/>
        <item x="3"/>
        <item x="0"/>
        <item x="5"/>
        <item t="default"/>
      </items>
    </pivotField>
    <pivotField axis="axisRow" showAll="0" sortType="descending">
      <items count="7">
        <item x="3"/>
        <item x="1"/>
        <item x="2"/>
        <item x="5"/>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6" showAll="0"/>
    <pivotField numFmtId="166" showAll="0"/>
    <pivotField showAll="0">
      <items count="3">
        <item x="1"/>
        <item x="0"/>
        <item t="default"/>
      </items>
    </pivotField>
    <pivotField showAll="0"/>
    <pivotField dataField="1" showAll="0"/>
    <pivotField showAll="0"/>
    <pivotField showAll="0">
      <items count="7">
        <item x="0"/>
        <item x="1"/>
        <item x="2"/>
        <item x="3"/>
        <item x="4"/>
        <item x="5"/>
        <item t="default"/>
      </items>
    </pivotField>
  </pivotFields>
  <rowFields count="1">
    <field x="2"/>
  </rowFields>
  <rowItems count="7">
    <i>
      <x v="4"/>
    </i>
    <i>
      <x/>
    </i>
    <i>
      <x v="5"/>
    </i>
    <i>
      <x v="2"/>
    </i>
    <i>
      <x v="1"/>
    </i>
    <i>
      <x v="3"/>
    </i>
    <i t="grand">
      <x/>
    </i>
  </rowItems>
  <colItems count="1">
    <i/>
  </colItems>
  <dataFields count="1">
    <dataField name="Average of ROAS" fld="12" subtotal="average" baseField="2" baseItem="0" numFmtId="4"/>
  </dataFields>
  <formats count="1">
    <format dxfId="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lijent" xr10:uid="{6EF051BC-AAB7-4E82-82BB-CEBD831F5248}" sourceName="Klijent">
  <pivotTables>
    <pivotTable tabId="8" name="PivotTable9"/>
    <pivotTable tabId="8" name="PivotTable12"/>
    <pivotTable tabId="8" name="PivotTable13"/>
    <pivotTable tabId="8" name="PivotTable14"/>
    <pivotTable tabId="8" name="PivotTable16"/>
    <pivotTable tabId="8" name="PivotTable17"/>
  </pivotTables>
  <data>
    <tabular pivotCacheId="96044492">
      <items count="6">
        <i x="4" s="1"/>
        <i x="1" s="1"/>
        <i x="3" s="1"/>
        <i x="0" s="1"/>
        <i x="5"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a" xr10:uid="{AB4CBDCF-3E4C-4A0C-AB46-17101E307109}" sourceName="Platforma">
  <pivotTables>
    <pivotTable tabId="8" name="PivotTable9"/>
    <pivotTable tabId="8" name="PivotTable12"/>
    <pivotTable tabId="8" name="PivotTable13"/>
    <pivotTable tabId="8" name="PivotTable14"/>
    <pivotTable tabId="8" name="PivotTable16"/>
    <pivotTable tabId="8" name="PivotTable17"/>
  </pivotTables>
  <data>
    <tabular pivotCacheId="96044492">
      <items count="6">
        <i x="3" s="1"/>
        <i x="2" s="1"/>
        <i x="5" s="1"/>
        <i x="4" s="1"/>
        <i x="0" s="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_optimizovao" xr10:uid="{21BAA837-9871-4808-B1B0-7E077808E33E}" sourceName="Tim optimizovao">
  <pivotTables>
    <pivotTable tabId="8" name="PivotTable13"/>
    <pivotTable tabId="8" name="PivotTable12"/>
    <pivotTable tabId="8" name="PivotTable14"/>
    <pivotTable tabId="8" name="PivotTable16"/>
    <pivotTable tabId="8" name="PivotTable17"/>
    <pivotTable tabId="8" name="PivotTable9"/>
  </pivotTables>
  <data>
    <tabular pivotCacheId="9604449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lijent" xr10:uid="{C1AB270E-8A2F-404A-B137-9741E80EF5D5}" cache="Slicer_Klijent" caption="Klijent" style="SlicerStyleOther2" rowHeight="247650"/>
  <slicer name="Platforma" xr10:uid="{01FBB03E-0D90-42E7-853C-4472C551DF5B}" cache="Slicer_Platforma" caption="Platforma" style="SlicerStyleOther2" rowHeight="247650"/>
  <slicer name="Tim optimizovao" xr10:uid="{4E5EEDE1-3E6C-481F-80CC-B9A3C13DCDBD}" cache="Slicer_Tim_optimizovao" caption="Tim optimizovao"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CB3BD3-7C85-4645-AB42-3A11AFAFE368}" name="Mesečna_prodaja" displayName="Mesečna_prodaja" ref="I9:L32" totalsRowCount="1" headerRowDxfId="84" headerRowBorderDxfId="83" tableBorderDxfId="82" totalsRowBorderDxfId="81">
  <autoFilter ref="I9:L31" xr:uid="{7CCB3BD3-7C85-4645-AB42-3A11AFAFE368}"/>
  <tableColumns count="4">
    <tableColumn id="1" xr3:uid="{1FBFCD09-43BC-41E2-9505-D826B33E5506}" name="Zaposleni" totalsRowLabel="Total" dataDxfId="80" totalsRowDxfId="79"/>
    <tableColumn id="2" xr3:uid="{458B89AA-02C1-49EB-8114-721906AEEA22}" name="        Prodaja Jan" totalsRowFunction="sum" dataDxfId="78" totalsRowDxfId="77"/>
    <tableColumn id="3" xr3:uid="{4A6ED627-703A-4DD4-9026-16FD864015AD}" name="Prodaja Feb" totalsRowFunction="sum" dataDxfId="76" totalsRowDxfId="75"/>
    <tableColumn id="4" xr3:uid="{85D87742-3FBD-4A95-AFC9-FD2E983AEB47}" name="Prodaja Mar" totalsRowFunction="sum" dataDxfId="74" totalsRowDxfId="73"/>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32C4A0-ECB3-496A-A5CA-9A87C534EAD1}" name="Baza" displayName="Baza" ref="B10:I50" totalsRowShown="0" headerRowDxfId="72" headerRowBorderDxfId="71" tableBorderDxfId="70" totalsRowBorderDxfId="69">
  <autoFilter ref="B10:I50" xr:uid="{B132C4A0-ECB3-496A-A5CA-9A87C534EAD1}"/>
  <tableColumns count="8">
    <tableColumn id="1" xr3:uid="{8F915A99-A9AD-4D3C-80EF-2496F391FB1D}" name="Broj transakcije" dataDxfId="68"/>
    <tableColumn id="2" xr3:uid="{E0B809A8-00B3-4911-9E24-4D06A4380242}" name="Ime i prezime prodavca" dataDxfId="67"/>
    <tableColumn id="3" xr3:uid="{7AAB23EB-DAAC-42CB-B5B0-DFEB70B3DEC8}" name="Proizvod" dataDxfId="66"/>
    <tableColumn id="4" xr3:uid="{994A35F6-9049-4780-A399-657C2978B9D6}" name="Grad" dataDxfId="65"/>
    <tableColumn id="5" xr3:uid="{882A3279-F123-4833-95E4-3196F3988C26}" name="Način plaćanja" dataDxfId="64"/>
    <tableColumn id="6" xr3:uid="{36B6A5B7-9584-455A-BF76-107EA6494EEA}" name="Cena" dataDxfId="63"/>
    <tableColumn id="7" xr3:uid="{C16942D3-7A25-4E10-84D1-B6E868B752C7}" name="Količina" dataDxfId="62"/>
    <tableColumn id="8" xr3:uid="{33D1A48B-811D-4328-965F-172556A2DF89}" name="Profit" dataDxfId="61"/>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BDF6A05-4978-46EC-9E04-92E6B0410671}" name="Table6" displayName="Table6" ref="B8:I23" totalsRowShown="0" headerRowDxfId="60" tableBorderDxfId="59" totalsRowBorderDxfId="58" headerRowCellStyle="Check Cell">
  <autoFilter ref="B8:I23" xr:uid="{ABDF6A05-4978-46EC-9E04-92E6B041067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A423488-06EA-4F16-968F-B8D038A2E731}" name="ID zaposlenog" dataDxfId="57"/>
    <tableColumn id="2" xr3:uid="{4D41427B-709E-45BA-8DC2-BD3ECEA71CB8}" name="Ime i prezime" dataDxfId="56"/>
    <tableColumn id="13" xr3:uid="{8AA46C8E-08E6-4461-B7C1-75E066D5EAFF}" name="Ime i prezime2" dataDxfId="55">
      <calculatedColumnFormula>+TRIM(PROPER(Table6[[#This Row],[Ime i prezime]]))</calculatedColumnFormula>
    </tableColumn>
    <tableColumn id="3" xr3:uid="{DB6E9611-463A-4BC2-9ACD-6A444652DA45}" name="Pozicija" dataDxfId="54"/>
    <tableColumn id="4" xr3:uid="{CCE29812-82B0-4759-A508-3AE9A548FD05}" name="Datum zaposlenja" dataDxfId="53"/>
    <tableColumn id="10" xr3:uid="{A83F2C97-52AD-493B-8596-1AB069A9DDDB}" name="Status zaposlenja" dataDxfId="52"/>
    <tableColumn id="11" xr3:uid="{7E6CFEDB-E65D-4B1A-811C-4A215545FAA2}" name="Prisustvo (%) " dataDxfId="51"/>
    <tableColumn id="8" xr3:uid="{E44E100F-AA9A-43A7-B440-C36F0133F911}" name="Plata (RSD)" dataDxfId="5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E2C289-97E1-43CC-BF6F-F4ADC9DFA260}" name="Table4" displayName="Table4" ref="B10:K55" totalsRowShown="0" headerRowDxfId="49" tableBorderDxfId="48" totalsRowBorderDxfId="47" headerRowCellStyle="Input">
  <autoFilter ref="B10:K55" xr:uid="{48E2C289-97E1-43CC-BF6F-F4ADC9DFA26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6D02BDE-0D5D-4010-A64B-635EF5842E91}" name="Ime i prezime" dataDxfId="46"/>
    <tableColumn id="2" xr3:uid="{234CF167-2ADA-424D-8396-7D60B1848CAA}" name="Softver" dataDxfId="45"/>
    <tableColumn id="8" xr3:uid="{C869E74F-5C22-47C1-90B6-B3AC30B66EA9}" name="Datum prodaje" dataDxfId="44"/>
    <tableColumn id="9" xr3:uid="{9D240944-B0E9-40CC-A58D-74314713DD5C}" name="Način plaćanja" dataDxfId="43"/>
    <tableColumn id="3" xr3:uid="{74A513B0-32CA-4A18-8393-F3DBE2619B78}" name="Cena (RSD)" dataDxfId="42"/>
    <tableColumn id="7" xr3:uid="{5457B8F3-CEDF-432E-A32D-CD05CE26E2D7}" name="Količina" dataDxfId="41"/>
    <tableColumn id="6" xr3:uid="{1D29DFD1-A35A-4618-8CD5-84356430DF7C}" name="Prihod (RSD)" dataDxfId="40">
      <calculatedColumnFormula>+Table4[[#This Row],[Cena (RSD)]]*Table4[[#This Row],[Količina]]</calculatedColumnFormula>
    </tableColumn>
    <tableColumn id="5" xr3:uid="{16A015BF-54FC-4791-A7A6-E45A6E6CDB3E}" name="Bonus 1" dataDxfId="39">
      <calculatedColumnFormula>+IF(Table4[[#This Row],[Način plaćanja]]="Gotovina","5%","nema bonusa")</calculatedColumnFormula>
    </tableColumn>
    <tableColumn id="10" xr3:uid="{DE48B64F-1F64-4D17-B148-C5E69E3A04A0}" name="Bonus 2" dataDxfId="38">
      <calculatedColumnFormula>+IF(AND(Table4[[#This Row],[Prihod (RSD)]]&gt;600000,Table4[[#This Row],[Količina]]&gt;=3),H11*0.2,"")</calculatedColumnFormula>
    </tableColumn>
    <tableColumn id="11" xr3:uid="{EE96C089-A16E-49F6-8FB2-5967F6D2A9A2}" name="Status proizvoda" dataDxfId="37">
      <calculatedColumnFormula>+IF(OR(Table4[[#This Row],[Prihod (RSD)]]&gt;500000,Table4[[#This Row],[Količina]]&gt;=5),"Premium","")</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39C792-D340-4720-A0F3-E1059D3E5F03}" name="Table5" displayName="Table5" ref="B11:H51" totalsRowShown="0" headerRowDxfId="36" dataDxfId="34" headerRowBorderDxfId="35" tableBorderDxfId="33" totalsRowBorderDxfId="32">
  <autoFilter ref="B11:H51" xr:uid="{DE39C792-D340-4720-A0F3-E1059D3E5F03}"/>
  <tableColumns count="7">
    <tableColumn id="1" xr3:uid="{581FADB8-C71B-4051-8717-06FC5A53975E}" name="ID" dataDxfId="31"/>
    <tableColumn id="2" xr3:uid="{2FF6031A-9ED0-436F-BD4E-6B84AC18C3F5}" name="Ime i Prezime" dataDxfId="30"/>
    <tableColumn id="3" xr3:uid="{557B9E0F-5E55-4379-BAAD-1803033D1358}" name="Naziv odeljenja" dataDxfId="29"/>
    <tableColumn id="4" xr3:uid="{DC9C286D-A188-4899-9421-CF3BA6920299}" name="Pozicija" dataDxfId="28"/>
    <tableColumn id="5" xr3:uid="{2A045EA8-85BB-422F-B26E-29ED8C7A2038}" name="Datum zaposlenja" dataDxfId="27"/>
    <tableColumn id="6" xr3:uid="{7F9CFB3F-378C-495D-AF17-CC05EE3EA6B9}" name="Menadžer odeljenja Vlookup" dataDxfId="26">
      <calculatedColumnFormula>+VLOOKUP(Table5[[#This Row],[Naziv odeljenja]],$J$11:$K$17,2,FALSE)</calculatedColumnFormula>
    </tableColumn>
    <tableColumn id="7" xr3:uid="{B7959C41-EBB9-494A-82DD-16D5CC17AAAD}" name="Menažer odeljenja Xlookup" dataDxfId="25">
      <calculatedColumnFormula>+_xlfn.XLOOKUP(Table5[[#This Row],[Naziv odeljenja]],$J$12:$J$17,$K$12:$K$17,"",0)</calculatedColumnFormula>
    </tableColumn>
  </tableColumns>
  <tableStyleInfo name="TableStyleLight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C417C5C-DB65-4B28-ACD1-F2BD8CD633E4}" name="Table8" displayName="Table8" ref="B8:E28" totalsRowShown="0" headerRowDxfId="24">
  <autoFilter ref="B8:E28" xr:uid="{AC417C5C-DB65-4B28-ACD1-F2BD8CD633E4}"/>
  <tableColumns count="4">
    <tableColumn id="1" xr3:uid="{C9FE8279-0BA9-4059-A037-95A470A16D52}" name="ID"/>
    <tableColumn id="2" xr3:uid="{B6157AFC-F843-4B61-ACD4-5FF5E5453176}" name="Ime i Prezime"/>
    <tableColumn id="3" xr3:uid="{4C2291BE-B611-482C-8397-55701BB64107}" name="Prihod" dataDxfId="23"/>
    <tableColumn id="4" xr3:uid="{F2899179-F3BB-493C-AAB0-F6B4E2E4FF05}" name="Bonus" dataDxfId="22">
      <calculatedColumnFormula>+INDEX($J$9:$J$13,MATCH(Table8[[#This Row],[Prihod]],$I$9:$I$13,1))</calculatedColumnFormula>
    </tableColumn>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246A945-65B4-440E-B8A6-08E90BCC71A5}" name="Baza_podataka" displayName="Baza_podataka" ref="B8:O128" totalsRowShown="0" headerRowDxfId="21" dataDxfId="20">
  <autoFilter ref="B8:O128" xr:uid="{5246A945-65B4-440E-B8A6-08E90BCC71A5}"/>
  <tableColumns count="14">
    <tableColumn id="1" xr3:uid="{159948B0-5508-41FB-A799-D5ED519EA651}" name="Datum" dataDxfId="19"/>
    <tableColumn id="2" xr3:uid="{B8EA6B39-619D-409A-B619-A6B5FAB76CBC}" name="Klijent" dataDxfId="18"/>
    <tableColumn id="3" xr3:uid="{C5A7BEAA-32F4-49F7-9682-443722DB2B5A}" name="Platforma" dataDxfId="17"/>
    <tableColumn id="4" xr3:uid="{270C69C0-6928-475F-9065-2D9D29B92D6E}" name="Država" dataDxfId="16"/>
    <tableColumn id="5" xr3:uid="{D8C4223A-904C-488E-8A8C-C83BB280A19F}" name="Prikazi" dataDxfId="15"/>
    <tableColumn id="6" xr3:uid="{B97A04FD-599A-4124-9C6C-F9C47C6ABCAC}" name="Klikovi" dataDxfId="14"/>
    <tableColumn id="7" xr3:uid="{6C69E776-6801-459C-B5C5-26F6B1D41F40}" name="Sesije" dataDxfId="13"/>
    <tableColumn id="8" xr3:uid="{58519590-4F93-447E-B8F6-AF8B0C14A145}" name="Konverzije" dataDxfId="12"/>
    <tableColumn id="9" xr3:uid="{6BAD409C-5AA4-45CB-86C5-507F275D5F7B}" name="Prihod" dataDxfId="11"/>
    <tableColumn id="10" xr3:uid="{057956F6-8C5C-4E03-AFD5-27598E601CB6}" name="Trošak oglasa" dataDxfId="10"/>
    <tableColumn id="11" xr3:uid="{686336D3-EAC3-48C2-B519-56EAAC53793F}" name="Tim optimizovao" dataDxfId="9"/>
    <tableColumn id="12" xr3:uid="{A9691E68-F72B-4BEA-835F-09FF43CAA56E}" name="CTR" dataDxfId="8">
      <calculatedColumnFormula>+Baza_podataka[[#This Row],[Klikovi]]/Baza_podataka[[#This Row],[Prikazi]]</calculatedColumnFormula>
    </tableColumn>
    <tableColumn id="13" xr3:uid="{5615436A-85EE-41BA-A23F-FA5A96151062}" name="ROAS" dataDxfId="7">
      <calculatedColumnFormula>+Baza_podataka[[#This Row],[Prihod]]/Baza_podataka[[#This Row],[Trošak oglasa]]</calculatedColumnFormula>
    </tableColumn>
    <tableColumn id="14" xr3:uid="{AE82ECE8-0B7A-481E-B735-FDFECB7B98AB}" name="ACOS" dataDxfId="6">
      <calculatedColumnFormula>+Baza_podataka[[#This Row],[Trošak oglasa]]/Baza_podataka[[#This Row],[Prihod]]</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um" xr10:uid="{86DA260A-6B36-4C1F-88B2-AB3BDAE5AE78}" sourceName="Datum">
  <pivotTables>
    <pivotTable tabId="8" name="PivotTable17"/>
    <pivotTable tabId="8" name="PivotTable12"/>
    <pivotTable tabId="8" name="PivotTable13"/>
    <pivotTable tabId="8" name="PivotTable14"/>
    <pivotTable tabId="8" name="PivotTable16"/>
    <pivotTable tabId="8" name="PivotTable9"/>
  </pivotTables>
  <state minimalRefreshVersion="6" lastRefreshVersion="6" pivotCacheId="96044492"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um" xr10:uid="{96A80D01-EC28-414F-8026-F1EE6285015B}" cache="NativeTimeline_Datum" caption="Datum"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3B5BF-4102-4D2A-B7C3-11B4DAF78E39}">
  <sheetPr>
    <tabColor rgb="FFFFFF66"/>
  </sheetPr>
  <dimension ref="E8:S22"/>
  <sheetViews>
    <sheetView tabSelected="1" workbookViewId="0"/>
  </sheetViews>
  <sheetFormatPr defaultRowHeight="14.4" x14ac:dyDescent="0.3"/>
  <cols>
    <col min="1" max="8" width="8.88671875" style="7"/>
    <col min="9" max="9" width="9.33203125" style="7" customWidth="1"/>
    <col min="10" max="10" width="10.5546875" style="7" bestFit="1" customWidth="1"/>
    <col min="11" max="16384" width="8.88671875" style="7"/>
  </cols>
  <sheetData>
    <row r="8" spans="5:18" ht="15.6" x14ac:dyDescent="0.3">
      <c r="J8" s="15"/>
      <c r="K8" s="16" t="s">
        <v>152</v>
      </c>
      <c r="L8" s="16"/>
    </row>
    <row r="9" spans="5:18" ht="15.6" x14ac:dyDescent="0.3">
      <c r="J9" s="15"/>
      <c r="K9" s="16" t="s">
        <v>150</v>
      </c>
      <c r="L9" s="16"/>
      <c r="M9" s="16"/>
      <c r="O9" s="14"/>
    </row>
    <row r="10" spans="5:18" ht="15.6" x14ac:dyDescent="0.3">
      <c r="J10" s="15"/>
      <c r="K10" s="16" t="s">
        <v>151</v>
      </c>
      <c r="L10" s="16"/>
      <c r="M10" s="16"/>
      <c r="O10" s="14"/>
    </row>
    <row r="11" spans="5:18" ht="15.6" x14ac:dyDescent="0.3">
      <c r="J11" s="15"/>
      <c r="K11" s="16" t="s">
        <v>153</v>
      </c>
      <c r="L11" s="16"/>
      <c r="M11" s="16"/>
      <c r="O11" s="14"/>
    </row>
    <row r="12" spans="5:18" ht="15.6" x14ac:dyDescent="0.3">
      <c r="J12" s="15"/>
      <c r="K12" s="16"/>
      <c r="L12" s="16"/>
      <c r="M12" s="16"/>
      <c r="O12" s="14"/>
    </row>
    <row r="13" spans="5:18" ht="15.6" x14ac:dyDescent="0.3">
      <c r="J13" s="15"/>
      <c r="K13" s="16"/>
      <c r="L13" s="16"/>
      <c r="M13" s="16"/>
      <c r="O13" s="14"/>
    </row>
    <row r="14" spans="5:18" ht="15.6" customHeight="1" x14ac:dyDescent="0.3">
      <c r="E14" s="149" t="s">
        <v>154</v>
      </c>
      <c r="F14" s="149"/>
      <c r="G14" s="149"/>
      <c r="H14" s="149"/>
      <c r="I14" s="149"/>
      <c r="J14" s="149"/>
      <c r="K14" s="149"/>
      <c r="L14" s="149"/>
      <c r="M14" s="149"/>
      <c r="N14" s="149"/>
      <c r="O14" s="149"/>
      <c r="P14" s="149"/>
      <c r="Q14" s="149"/>
      <c r="R14" s="149"/>
    </row>
    <row r="15" spans="5:18" ht="15.6" customHeight="1" x14ac:dyDescent="0.3">
      <c r="E15" s="149"/>
      <c r="F15" s="149"/>
      <c r="G15" s="149"/>
      <c r="H15" s="149"/>
      <c r="I15" s="149"/>
      <c r="J15" s="149"/>
      <c r="K15" s="149"/>
      <c r="L15" s="149"/>
      <c r="M15" s="149"/>
      <c r="N15" s="149"/>
      <c r="O15" s="149"/>
      <c r="P15" s="149"/>
      <c r="Q15" s="149"/>
      <c r="R15" s="149"/>
    </row>
    <row r="16" spans="5:18" ht="14.4" customHeight="1" x14ac:dyDescent="0.3">
      <c r="E16" s="149"/>
      <c r="F16" s="149"/>
      <c r="G16" s="149"/>
      <c r="H16" s="149"/>
      <c r="I16" s="149"/>
      <c r="J16" s="149"/>
      <c r="K16" s="149"/>
      <c r="L16" s="149"/>
      <c r="M16" s="149"/>
      <c r="N16" s="149"/>
      <c r="O16" s="149"/>
      <c r="P16" s="149"/>
      <c r="Q16" s="149"/>
      <c r="R16" s="149"/>
    </row>
    <row r="17" spans="5:19" ht="25.8" customHeight="1" x14ac:dyDescent="0.3">
      <c r="E17" s="149"/>
      <c r="F17" s="149"/>
      <c r="G17" s="149"/>
      <c r="H17" s="149"/>
      <c r="I17" s="149"/>
      <c r="J17" s="149"/>
      <c r="K17" s="149"/>
      <c r="L17" s="149"/>
      <c r="M17" s="149"/>
      <c r="N17" s="149"/>
      <c r="O17" s="149"/>
      <c r="P17" s="149"/>
      <c r="Q17" s="149"/>
      <c r="R17" s="149"/>
    </row>
    <row r="18" spans="5:19" ht="25.8" customHeight="1" x14ac:dyDescent="0.5">
      <c r="E18" s="12"/>
      <c r="F18" s="12"/>
      <c r="G18" s="12"/>
      <c r="H18" s="12"/>
      <c r="I18" s="12"/>
      <c r="J18" s="12"/>
      <c r="K18" s="12"/>
      <c r="L18" s="12"/>
      <c r="M18" s="12"/>
      <c r="N18" s="12"/>
      <c r="O18" s="12"/>
      <c r="P18" s="12"/>
      <c r="Q18" s="12"/>
      <c r="R18" s="12"/>
    </row>
    <row r="20" spans="5:19" ht="27" customHeight="1" x14ac:dyDescent="0.6">
      <c r="F20" s="150"/>
      <c r="G20" s="150"/>
      <c r="H20" s="150"/>
      <c r="I20" s="150"/>
      <c r="J20" s="150"/>
      <c r="K20" s="150"/>
      <c r="L20" s="150"/>
      <c r="M20" s="150"/>
      <c r="N20" s="150"/>
      <c r="O20" s="150"/>
      <c r="P20" s="150"/>
    </row>
    <row r="22" spans="5:19" ht="25.8" customHeight="1" x14ac:dyDescent="0.5">
      <c r="J22" s="17"/>
      <c r="K22" s="17"/>
      <c r="L22" s="17"/>
      <c r="S22" s="13"/>
    </row>
  </sheetData>
  <mergeCells count="2">
    <mergeCell ref="E14:R17"/>
    <mergeCell ref="F20:P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C460F-0D88-43D0-879D-F1DD4F34DB8D}">
  <sheetPr>
    <tabColor rgb="FF68D290"/>
  </sheetPr>
  <dimension ref="A1:T47"/>
  <sheetViews>
    <sheetView showGridLines="0" zoomScale="85" zoomScaleNormal="85" workbookViewId="0"/>
  </sheetViews>
  <sheetFormatPr defaultRowHeight="14.4" x14ac:dyDescent="0.3"/>
  <cols>
    <col min="1" max="1" width="4.21875" customWidth="1"/>
    <col min="2" max="2" width="17.88671875" bestFit="1" customWidth="1"/>
    <col min="3" max="3" width="13.6640625" bestFit="1" customWidth="1"/>
    <col min="4" max="4" width="10.77734375" bestFit="1" customWidth="1"/>
    <col min="5" max="5" width="11" bestFit="1" customWidth="1"/>
    <col min="9" max="9" width="17.88671875" bestFit="1" customWidth="1"/>
    <col min="10" max="10" width="16.44140625" bestFit="1" customWidth="1"/>
    <col min="11" max="11" width="13.5546875" bestFit="1" customWidth="1"/>
    <col min="12" max="12" width="13.6640625" bestFit="1" customWidth="1"/>
    <col min="14" max="14" width="5.77734375" customWidth="1"/>
    <col min="15" max="15" width="11.6640625" customWidth="1"/>
    <col min="16" max="16" width="26.33203125" customWidth="1"/>
    <col min="17" max="17" width="21.109375" customWidth="1"/>
    <col min="18" max="18" width="19.44140625" customWidth="1"/>
    <col min="19" max="19" width="0.109375" customWidth="1"/>
  </cols>
  <sheetData>
    <row r="1" spans="1:20" x14ac:dyDescent="0.3">
      <c r="D1" s="151" t="s">
        <v>178</v>
      </c>
      <c r="E1" s="151"/>
      <c r="F1" s="151"/>
      <c r="G1" s="151"/>
      <c r="H1" s="151"/>
      <c r="I1" s="151"/>
      <c r="N1" s="34"/>
      <c r="O1" s="44"/>
      <c r="P1" s="45"/>
      <c r="Q1" s="45"/>
      <c r="R1" s="45"/>
      <c r="S1" s="40"/>
    </row>
    <row r="2" spans="1:20" x14ac:dyDescent="0.3">
      <c r="D2" s="151"/>
      <c r="E2" s="151"/>
      <c r="F2" s="151"/>
      <c r="G2" s="151"/>
      <c r="H2" s="151"/>
      <c r="I2" s="151"/>
      <c r="N2" s="34"/>
      <c r="O2" s="172" t="s">
        <v>184</v>
      </c>
      <c r="P2" s="173"/>
      <c r="Q2" s="173"/>
      <c r="R2" s="173"/>
      <c r="S2" s="174"/>
    </row>
    <row r="3" spans="1:20" ht="21" x14ac:dyDescent="0.3">
      <c r="D3" s="151" t="s">
        <v>179</v>
      </c>
      <c r="E3" s="151"/>
      <c r="F3" s="151"/>
      <c r="G3" s="151"/>
      <c r="H3" s="151"/>
      <c r="I3" s="151"/>
      <c r="N3" s="34"/>
      <c r="O3" s="168" t="s">
        <v>282</v>
      </c>
      <c r="P3" s="169"/>
      <c r="Q3" s="169"/>
      <c r="R3" s="169"/>
      <c r="S3" s="170"/>
    </row>
    <row r="4" spans="1:20" ht="14.4" customHeight="1" x14ac:dyDescent="0.3">
      <c r="B4" s="30"/>
      <c r="C4" s="30"/>
      <c r="D4" s="30"/>
      <c r="E4" s="30"/>
      <c r="I4" s="30"/>
      <c r="J4" s="30"/>
      <c r="K4" s="30"/>
      <c r="L4" s="30"/>
      <c r="N4" s="34"/>
      <c r="O4" s="168"/>
      <c r="P4" s="169"/>
      <c r="Q4" s="169"/>
      <c r="R4" s="169"/>
      <c r="S4" s="171"/>
    </row>
    <row r="5" spans="1:20" ht="14.4" customHeight="1" x14ac:dyDescent="0.3">
      <c r="A5" s="34"/>
      <c r="B5" s="23" t="s">
        <v>213</v>
      </c>
      <c r="C5" s="23"/>
      <c r="D5" s="23"/>
      <c r="E5" s="35"/>
      <c r="H5" s="34"/>
      <c r="I5" s="22" t="s">
        <v>176</v>
      </c>
      <c r="J5" s="22"/>
      <c r="K5" s="22"/>
      <c r="L5" s="31"/>
      <c r="N5" s="34"/>
      <c r="O5" s="152" t="s">
        <v>181</v>
      </c>
      <c r="P5" s="153"/>
      <c r="Q5" s="153"/>
      <c r="R5" s="153"/>
      <c r="S5" s="41"/>
    </row>
    <row r="6" spans="1:20" ht="14.4" customHeight="1" x14ac:dyDescent="0.3">
      <c r="A6" s="34"/>
      <c r="B6" s="36" t="s">
        <v>182</v>
      </c>
      <c r="C6" s="36"/>
      <c r="D6" s="36"/>
      <c r="E6" s="37"/>
      <c r="H6" s="34"/>
      <c r="I6" s="32" t="s">
        <v>177</v>
      </c>
      <c r="J6" s="32"/>
      <c r="K6" s="32"/>
      <c r="L6" s="33"/>
      <c r="N6" s="34"/>
      <c r="O6" s="46" t="s">
        <v>283</v>
      </c>
      <c r="P6" s="47"/>
      <c r="Q6" s="47"/>
      <c r="R6" s="47"/>
      <c r="S6" s="48"/>
    </row>
    <row r="7" spans="1:20" ht="18.600000000000001" customHeight="1" x14ac:dyDescent="0.3">
      <c r="N7" s="34"/>
      <c r="O7" s="156" t="s">
        <v>235</v>
      </c>
      <c r="P7" s="157"/>
      <c r="Q7" s="157"/>
      <c r="R7" s="157"/>
      <c r="S7" s="63"/>
    </row>
    <row r="8" spans="1:20" x14ac:dyDescent="0.3">
      <c r="N8" s="34"/>
      <c r="O8" s="158"/>
      <c r="P8" s="159"/>
      <c r="Q8" s="159"/>
      <c r="R8" s="159"/>
      <c r="S8" s="64"/>
    </row>
    <row r="9" spans="1:20" x14ac:dyDescent="0.3">
      <c r="B9" s="29" t="s">
        <v>155</v>
      </c>
      <c r="C9" s="29" t="s">
        <v>156</v>
      </c>
      <c r="D9" s="29" t="s">
        <v>157</v>
      </c>
      <c r="E9" s="29" t="s">
        <v>158</v>
      </c>
      <c r="I9" s="18" t="s">
        <v>155</v>
      </c>
      <c r="J9" s="19" t="s">
        <v>156</v>
      </c>
      <c r="K9" s="19" t="s">
        <v>157</v>
      </c>
      <c r="L9" s="20" t="s">
        <v>158</v>
      </c>
      <c r="N9" s="34"/>
      <c r="O9" s="159"/>
      <c r="P9" s="159"/>
      <c r="Q9" s="159"/>
      <c r="R9" s="159"/>
      <c r="S9" s="64"/>
    </row>
    <row r="10" spans="1:20" ht="14.4" customHeight="1" x14ac:dyDescent="0.3">
      <c r="B10" s="1" t="s">
        <v>140</v>
      </c>
      <c r="C10" s="1">
        <v>1200</v>
      </c>
      <c r="D10" s="1">
        <v>1350</v>
      </c>
      <c r="E10" s="1">
        <v>1400</v>
      </c>
      <c r="I10" s="8" t="s">
        <v>140</v>
      </c>
      <c r="J10" s="1">
        <v>1200</v>
      </c>
      <c r="K10" s="1">
        <v>1350</v>
      </c>
      <c r="L10" s="9">
        <v>1400</v>
      </c>
      <c r="N10" s="34"/>
      <c r="O10" s="156" t="s">
        <v>276</v>
      </c>
      <c r="P10" s="157"/>
      <c r="Q10" s="157"/>
      <c r="R10" s="157"/>
      <c r="S10" s="64"/>
      <c r="T10" s="26"/>
    </row>
    <row r="11" spans="1:20" ht="14.4" customHeight="1" x14ac:dyDescent="0.3">
      <c r="B11" s="1" t="s">
        <v>141</v>
      </c>
      <c r="C11" s="1">
        <v>980</v>
      </c>
      <c r="D11" s="1">
        <v>1100</v>
      </c>
      <c r="E11" s="1">
        <v>1050</v>
      </c>
      <c r="I11" s="8" t="s">
        <v>141</v>
      </c>
      <c r="J11" s="1">
        <v>980</v>
      </c>
      <c r="K11" s="1">
        <v>1100</v>
      </c>
      <c r="L11" s="9">
        <v>1050</v>
      </c>
      <c r="N11" s="34"/>
      <c r="O11" s="160"/>
      <c r="P11" s="161"/>
      <c r="Q11" s="161"/>
      <c r="R11" s="161"/>
      <c r="S11" s="65"/>
      <c r="T11" s="26"/>
    </row>
    <row r="12" spans="1:20" x14ac:dyDescent="0.3">
      <c r="B12" s="1" t="s">
        <v>10</v>
      </c>
      <c r="C12" s="1">
        <v>1500</v>
      </c>
      <c r="D12" s="1">
        <v>1600</v>
      </c>
      <c r="E12" s="1">
        <v>1700</v>
      </c>
      <c r="I12" s="8" t="s">
        <v>10</v>
      </c>
      <c r="J12" s="1">
        <v>1500</v>
      </c>
      <c r="K12" s="1">
        <v>1600</v>
      </c>
      <c r="L12" s="9">
        <v>1700</v>
      </c>
      <c r="O12" s="42" t="s">
        <v>230</v>
      </c>
      <c r="S12" s="34"/>
      <c r="T12" s="26"/>
    </row>
    <row r="13" spans="1:20" x14ac:dyDescent="0.3">
      <c r="B13" s="1" t="s">
        <v>159</v>
      </c>
      <c r="C13" s="1">
        <v>800</v>
      </c>
      <c r="D13" s="1">
        <v>950</v>
      </c>
      <c r="E13" s="1">
        <v>900</v>
      </c>
      <c r="I13" s="8" t="s">
        <v>159</v>
      </c>
      <c r="J13" s="1">
        <v>800</v>
      </c>
      <c r="K13" s="1">
        <v>950</v>
      </c>
      <c r="L13" s="9">
        <v>900</v>
      </c>
      <c r="O13" s="42" t="s">
        <v>231</v>
      </c>
      <c r="S13" s="34"/>
    </row>
    <row r="14" spans="1:20" x14ac:dyDescent="0.3">
      <c r="B14" s="1" t="s">
        <v>160</v>
      </c>
      <c r="C14" s="1">
        <v>1300</v>
      </c>
      <c r="D14" s="1">
        <v>1250</v>
      </c>
      <c r="E14" s="1">
        <v>1400</v>
      </c>
      <c r="I14" s="8" t="s">
        <v>160</v>
      </c>
      <c r="J14" s="1">
        <v>1300</v>
      </c>
      <c r="K14" s="1">
        <v>1250</v>
      </c>
      <c r="L14" s="9">
        <v>1400</v>
      </c>
      <c r="O14" s="42" t="s">
        <v>232</v>
      </c>
      <c r="S14" s="34"/>
    </row>
    <row r="15" spans="1:20" x14ac:dyDescent="0.3">
      <c r="B15" s="1" t="s">
        <v>161</v>
      </c>
      <c r="C15" s="1">
        <v>1150</v>
      </c>
      <c r="D15" s="1">
        <v>1200</v>
      </c>
      <c r="E15" s="1">
        <v>1180</v>
      </c>
      <c r="I15" s="8" t="s">
        <v>161</v>
      </c>
      <c r="J15" s="1">
        <v>1150</v>
      </c>
      <c r="K15" s="1">
        <v>1200</v>
      </c>
      <c r="L15" s="9">
        <v>1180</v>
      </c>
      <c r="O15" s="42" t="s">
        <v>233</v>
      </c>
      <c r="S15" s="34"/>
    </row>
    <row r="16" spans="1:20" x14ac:dyDescent="0.3">
      <c r="B16" s="1" t="s">
        <v>162</v>
      </c>
      <c r="C16" s="1">
        <v>950</v>
      </c>
      <c r="D16" s="1">
        <v>1020</v>
      </c>
      <c r="E16" s="1">
        <v>980</v>
      </c>
      <c r="I16" s="8" t="s">
        <v>162</v>
      </c>
      <c r="J16" s="1">
        <v>950</v>
      </c>
      <c r="K16" s="1">
        <v>1020</v>
      </c>
      <c r="L16" s="9">
        <v>980</v>
      </c>
      <c r="O16" s="162" t="s">
        <v>234</v>
      </c>
      <c r="P16" s="163"/>
      <c r="Q16" s="163"/>
      <c r="R16" s="163"/>
      <c r="S16" s="164"/>
    </row>
    <row r="17" spans="2:19" x14ac:dyDescent="0.3">
      <c r="B17" s="1" t="s">
        <v>163</v>
      </c>
      <c r="C17" s="1">
        <v>1700</v>
      </c>
      <c r="D17" s="1">
        <v>1750</v>
      </c>
      <c r="E17" s="1">
        <v>1800</v>
      </c>
      <c r="I17" s="8" t="s">
        <v>163</v>
      </c>
      <c r="J17" s="1">
        <v>1700</v>
      </c>
      <c r="K17" s="1">
        <v>1750</v>
      </c>
      <c r="L17" s="9">
        <v>1800</v>
      </c>
      <c r="O17" s="165"/>
      <c r="P17" s="166"/>
      <c r="Q17" s="166"/>
      <c r="R17" s="166"/>
      <c r="S17" s="167"/>
    </row>
    <row r="18" spans="2:19" x14ac:dyDescent="0.3">
      <c r="B18" s="1" t="s">
        <v>164</v>
      </c>
      <c r="C18" s="1">
        <v>1050</v>
      </c>
      <c r="D18" s="1">
        <v>1100</v>
      </c>
      <c r="E18" s="1">
        <v>1150</v>
      </c>
      <c r="I18" s="8" t="s">
        <v>164</v>
      </c>
      <c r="J18" s="1">
        <v>1050</v>
      </c>
      <c r="K18" s="1">
        <v>1100</v>
      </c>
      <c r="L18" s="9">
        <v>1150</v>
      </c>
      <c r="O18" s="154" t="s">
        <v>183</v>
      </c>
      <c r="P18" s="155"/>
      <c r="Q18" s="57" t="e" vm="1">
        <v>#VALUE!</v>
      </c>
      <c r="R18" s="57" t="e" vm="2">
        <v>#VALUE!</v>
      </c>
    </row>
    <row r="19" spans="2:19" x14ac:dyDescent="0.3">
      <c r="B19" s="1" t="s">
        <v>165</v>
      </c>
      <c r="C19" s="1">
        <v>890</v>
      </c>
      <c r="D19" s="1">
        <v>940</v>
      </c>
      <c r="E19" s="1">
        <v>970</v>
      </c>
      <c r="I19" s="8" t="s">
        <v>165</v>
      </c>
      <c r="J19" s="1">
        <v>890</v>
      </c>
      <c r="K19" s="1">
        <v>940</v>
      </c>
      <c r="L19" s="9">
        <v>970</v>
      </c>
      <c r="O19" s="43" t="s">
        <v>185</v>
      </c>
      <c r="P19" s="49"/>
      <c r="Q19" s="50" t="s">
        <v>186</v>
      </c>
      <c r="R19" s="50" t="s">
        <v>221</v>
      </c>
    </row>
    <row r="20" spans="2:19" ht="14.4" customHeight="1" x14ac:dyDescent="0.3">
      <c r="B20" s="1" t="s">
        <v>166</v>
      </c>
      <c r="C20" s="1">
        <v>1250</v>
      </c>
      <c r="D20" s="1">
        <v>1300</v>
      </c>
      <c r="E20" s="1">
        <v>1280</v>
      </c>
      <c r="I20" s="8" t="s">
        <v>166</v>
      </c>
      <c r="J20" s="1">
        <v>1250</v>
      </c>
      <c r="K20" s="1">
        <v>1300</v>
      </c>
      <c r="L20" s="9">
        <v>1280</v>
      </c>
      <c r="O20" s="53" t="s">
        <v>187</v>
      </c>
      <c r="P20" s="54"/>
      <c r="Q20" s="39" t="s">
        <v>188</v>
      </c>
      <c r="R20" s="39" t="s">
        <v>222</v>
      </c>
    </row>
    <row r="21" spans="2:19" x14ac:dyDescent="0.3">
      <c r="B21" s="1" t="s">
        <v>167</v>
      </c>
      <c r="C21" s="1">
        <v>1350</v>
      </c>
      <c r="D21" s="1">
        <v>1400</v>
      </c>
      <c r="E21" s="1">
        <v>1450</v>
      </c>
      <c r="I21" s="8" t="s">
        <v>167</v>
      </c>
      <c r="J21" s="1">
        <v>1350</v>
      </c>
      <c r="K21" s="1">
        <v>1400</v>
      </c>
      <c r="L21" s="9">
        <v>1450</v>
      </c>
      <c r="O21" s="55" t="s">
        <v>210</v>
      </c>
      <c r="P21" s="56"/>
      <c r="Q21" s="38" t="s">
        <v>189</v>
      </c>
      <c r="R21" s="38" t="s">
        <v>223</v>
      </c>
    </row>
    <row r="22" spans="2:19" ht="14.4" customHeight="1" x14ac:dyDescent="0.3">
      <c r="B22" s="1" t="s">
        <v>168</v>
      </c>
      <c r="C22" s="1">
        <v>1000</v>
      </c>
      <c r="D22" s="1">
        <v>1080</v>
      </c>
      <c r="E22" s="1">
        <v>1120</v>
      </c>
      <c r="I22" s="8" t="s">
        <v>168</v>
      </c>
      <c r="J22" s="1">
        <v>1000</v>
      </c>
      <c r="K22" s="1">
        <v>1080</v>
      </c>
      <c r="L22" s="9">
        <v>1120</v>
      </c>
      <c r="O22" s="180" t="s">
        <v>209</v>
      </c>
      <c r="P22" s="181"/>
      <c r="Q22" s="38" t="s">
        <v>190</v>
      </c>
      <c r="R22" s="38" t="s">
        <v>224</v>
      </c>
    </row>
    <row r="23" spans="2:19" ht="14.4" customHeight="1" x14ac:dyDescent="0.3">
      <c r="B23" s="1" t="s">
        <v>169</v>
      </c>
      <c r="C23" s="1"/>
      <c r="D23" s="1">
        <v>990</v>
      </c>
      <c r="E23" s="1">
        <v>1020</v>
      </c>
      <c r="I23" s="8" t="s">
        <v>169</v>
      </c>
      <c r="J23" s="1">
        <v>950</v>
      </c>
      <c r="K23" s="1">
        <v>990</v>
      </c>
      <c r="L23" s="9">
        <v>1020</v>
      </c>
      <c r="O23" s="176" t="s">
        <v>191</v>
      </c>
      <c r="P23" s="177"/>
      <c r="Q23" s="50" t="s">
        <v>192</v>
      </c>
      <c r="R23" s="126" t="s">
        <v>427</v>
      </c>
    </row>
    <row r="24" spans="2:19" x14ac:dyDescent="0.3">
      <c r="B24" s="1" t="s">
        <v>170</v>
      </c>
      <c r="C24" s="1">
        <v>1450</v>
      </c>
      <c r="D24" s="1">
        <v>1500</v>
      </c>
      <c r="E24" s="1">
        <v>1550</v>
      </c>
      <c r="I24" s="8" t="s">
        <v>170</v>
      </c>
      <c r="J24" s="1"/>
      <c r="K24" s="1">
        <v>1500</v>
      </c>
      <c r="L24" s="9">
        <v>1550</v>
      </c>
      <c r="O24" s="178" t="s">
        <v>193</v>
      </c>
      <c r="P24" s="179"/>
      <c r="Q24" s="39" t="s">
        <v>194</v>
      </c>
      <c r="R24" s="39" t="s">
        <v>225</v>
      </c>
    </row>
    <row r="25" spans="2:19" ht="14.4" customHeight="1" x14ac:dyDescent="0.3">
      <c r="B25" s="1" t="s">
        <v>171</v>
      </c>
      <c r="C25" s="1">
        <v>1200</v>
      </c>
      <c r="D25" s="1"/>
      <c r="E25" s="1">
        <v>1300</v>
      </c>
      <c r="I25" s="8" t="s">
        <v>171</v>
      </c>
      <c r="J25" s="1">
        <v>1200</v>
      </c>
      <c r="K25" s="1"/>
      <c r="L25" s="9">
        <v>1300</v>
      </c>
      <c r="O25" s="55" t="s">
        <v>195</v>
      </c>
      <c r="P25" s="56"/>
      <c r="Q25" s="38" t="s">
        <v>196</v>
      </c>
      <c r="R25" s="38" t="s">
        <v>226</v>
      </c>
    </row>
    <row r="26" spans="2:19" x14ac:dyDescent="0.3">
      <c r="B26" s="1" t="s">
        <v>172</v>
      </c>
      <c r="C26" s="1">
        <v>880</v>
      </c>
      <c r="D26" s="1">
        <v>920</v>
      </c>
      <c r="E26" s="1">
        <v>950</v>
      </c>
      <c r="I26" s="8" t="s">
        <v>172</v>
      </c>
      <c r="J26" s="1">
        <v>880</v>
      </c>
      <c r="K26" s="1">
        <v>920</v>
      </c>
      <c r="L26" s="9"/>
      <c r="O26" s="55" t="s">
        <v>197</v>
      </c>
      <c r="P26" s="56"/>
      <c r="Q26" s="38" t="s">
        <v>198</v>
      </c>
      <c r="R26" s="38" t="s">
        <v>229</v>
      </c>
    </row>
    <row r="27" spans="2:19" ht="14.4" customHeight="1" x14ac:dyDescent="0.3">
      <c r="B27" s="1" t="s">
        <v>173</v>
      </c>
      <c r="C27" s="1">
        <v>1600</v>
      </c>
      <c r="D27" s="1">
        <v>1650</v>
      </c>
      <c r="E27" s="1"/>
      <c r="I27" s="8" t="s">
        <v>173</v>
      </c>
      <c r="J27" s="1">
        <v>1600</v>
      </c>
      <c r="K27" s="1">
        <v>1650</v>
      </c>
      <c r="L27" s="9">
        <v>1700</v>
      </c>
      <c r="O27" s="43" t="s">
        <v>199</v>
      </c>
      <c r="P27" s="49"/>
      <c r="Q27" s="50" t="s">
        <v>200</v>
      </c>
      <c r="R27" s="50" t="s">
        <v>217</v>
      </c>
    </row>
    <row r="28" spans="2:19" x14ac:dyDescent="0.3">
      <c r="B28" s="1" t="s">
        <v>174</v>
      </c>
      <c r="C28" s="1">
        <v>1100</v>
      </c>
      <c r="D28" s="1">
        <v>1150</v>
      </c>
      <c r="E28" s="1">
        <v>1180</v>
      </c>
      <c r="I28" s="8" t="s">
        <v>174</v>
      </c>
      <c r="J28" s="1">
        <v>1100</v>
      </c>
      <c r="K28" s="1">
        <v>1150</v>
      </c>
      <c r="L28" s="9">
        <v>1180</v>
      </c>
      <c r="O28" s="53" t="s">
        <v>201</v>
      </c>
      <c r="P28" s="54"/>
      <c r="Q28" s="39" t="s">
        <v>202</v>
      </c>
      <c r="R28" s="39" t="s">
        <v>218</v>
      </c>
    </row>
    <row r="29" spans="2:19" ht="14.4" customHeight="1" x14ac:dyDescent="0.3">
      <c r="B29" s="1" t="s">
        <v>175</v>
      </c>
      <c r="C29" s="1">
        <v>1020</v>
      </c>
      <c r="D29" s="1">
        <v>1080</v>
      </c>
      <c r="E29" s="1">
        <v>1120</v>
      </c>
      <c r="I29" s="8" t="s">
        <v>175</v>
      </c>
      <c r="J29" s="1">
        <v>1020</v>
      </c>
      <c r="K29" s="1">
        <v>1080</v>
      </c>
      <c r="L29" s="9">
        <v>1120</v>
      </c>
      <c r="O29" s="176" t="s">
        <v>203</v>
      </c>
      <c r="P29" s="177"/>
      <c r="Q29" s="175" t="s">
        <v>204</v>
      </c>
      <c r="R29" s="182" t="s">
        <v>219</v>
      </c>
    </row>
    <row r="30" spans="2:19" ht="14.4" customHeight="1" x14ac:dyDescent="0.3">
      <c r="B30" s="1" t="s">
        <v>174</v>
      </c>
      <c r="C30" s="1">
        <v>1100</v>
      </c>
      <c r="D30" s="1">
        <v>1150</v>
      </c>
      <c r="E30" s="1">
        <v>1180</v>
      </c>
      <c r="I30" s="8" t="s">
        <v>174</v>
      </c>
      <c r="J30" s="1">
        <v>1100</v>
      </c>
      <c r="K30" s="1">
        <v>1150</v>
      </c>
      <c r="L30" s="9">
        <v>1180</v>
      </c>
      <c r="O30" s="180"/>
      <c r="P30" s="181"/>
      <c r="Q30" s="183"/>
      <c r="R30" s="183"/>
    </row>
    <row r="31" spans="2:19" x14ac:dyDescent="0.3">
      <c r="B31" s="1" t="s">
        <v>175</v>
      </c>
      <c r="C31" s="1">
        <v>1020</v>
      </c>
      <c r="D31" s="1">
        <v>1080</v>
      </c>
      <c r="E31" s="1">
        <v>1120</v>
      </c>
      <c r="I31" s="10" t="s">
        <v>175</v>
      </c>
      <c r="J31" s="21">
        <v>1020</v>
      </c>
      <c r="K31" s="21">
        <v>1080</v>
      </c>
      <c r="L31" s="11">
        <v>1120</v>
      </c>
      <c r="O31" s="51" t="s">
        <v>208</v>
      </c>
      <c r="P31" s="52"/>
      <c r="Q31" s="38" t="s">
        <v>205</v>
      </c>
      <c r="R31" s="39" t="s">
        <v>227</v>
      </c>
    </row>
    <row r="32" spans="2:19" x14ac:dyDescent="0.3">
      <c r="I32" s="10" t="s">
        <v>180</v>
      </c>
      <c r="J32" s="24">
        <f>SUBTOTAL(109,Mesečna_prodaja[[        Prodaja Jan]])</f>
        <v>23990</v>
      </c>
      <c r="K32" s="24">
        <f>SUBTOTAL(109,Mesečna_prodaja[Prodaja Feb])</f>
        <v>25560</v>
      </c>
      <c r="L32" s="25">
        <f>SUBTOTAL(109,Mesečna_prodaja[Prodaja Mar])</f>
        <v>26550</v>
      </c>
      <c r="O32" s="176" t="s">
        <v>206</v>
      </c>
      <c r="P32" s="177"/>
      <c r="Q32" s="175" t="s">
        <v>207</v>
      </c>
      <c r="R32" s="182" t="s">
        <v>228</v>
      </c>
    </row>
    <row r="33" spans="15:19" x14ac:dyDescent="0.3">
      <c r="O33" s="180"/>
      <c r="P33" s="181"/>
      <c r="Q33" s="183"/>
      <c r="R33" s="183"/>
    </row>
    <row r="34" spans="15:19" ht="14.4" customHeight="1" x14ac:dyDescent="0.3">
      <c r="O34" s="176" t="s">
        <v>211</v>
      </c>
      <c r="P34" s="177"/>
      <c r="Q34" s="175" t="s">
        <v>212</v>
      </c>
      <c r="R34" s="175" t="s">
        <v>216</v>
      </c>
    </row>
    <row r="35" spans="15:19" ht="14.4" customHeight="1" x14ac:dyDescent="0.3">
      <c r="O35" s="176"/>
      <c r="P35" s="177"/>
      <c r="Q35" s="175"/>
      <c r="R35" s="175"/>
    </row>
    <row r="36" spans="15:19" ht="14.4" customHeight="1" x14ac:dyDescent="0.3">
      <c r="O36" s="184" t="s">
        <v>214</v>
      </c>
      <c r="P36" s="185"/>
      <c r="Q36" s="182" t="s">
        <v>215</v>
      </c>
      <c r="R36" s="182" t="s">
        <v>220</v>
      </c>
    </row>
    <row r="37" spans="15:19" x14ac:dyDescent="0.3">
      <c r="O37" s="180"/>
      <c r="P37" s="181"/>
      <c r="Q37" s="183"/>
      <c r="R37" s="183"/>
      <c r="S37" s="30"/>
    </row>
    <row r="38" spans="15:19" ht="14.4" customHeight="1" x14ac:dyDescent="0.3"/>
    <row r="40" spans="15:19" ht="14.4" customHeight="1" x14ac:dyDescent="0.3"/>
    <row r="47" spans="15:19" ht="14.4" customHeight="1" x14ac:dyDescent="0.3"/>
  </sheetData>
  <mergeCells count="24">
    <mergeCell ref="R34:R35"/>
    <mergeCell ref="O23:P23"/>
    <mergeCell ref="O24:P24"/>
    <mergeCell ref="O22:P22"/>
    <mergeCell ref="Q36:Q37"/>
    <mergeCell ref="R36:R37"/>
    <mergeCell ref="O29:P30"/>
    <mergeCell ref="Q29:Q30"/>
    <mergeCell ref="R29:R30"/>
    <mergeCell ref="R32:R33"/>
    <mergeCell ref="O36:P37"/>
    <mergeCell ref="O32:P33"/>
    <mergeCell ref="Q32:Q33"/>
    <mergeCell ref="O34:P35"/>
    <mergeCell ref="Q34:Q35"/>
    <mergeCell ref="D1:I2"/>
    <mergeCell ref="D3:I3"/>
    <mergeCell ref="O5:R5"/>
    <mergeCell ref="O18:P18"/>
    <mergeCell ref="O7:R9"/>
    <mergeCell ref="O10:R11"/>
    <mergeCell ref="O16:S17"/>
    <mergeCell ref="O3:S4"/>
    <mergeCell ref="O2:S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85CDF-C98C-4EDB-992C-9AB728A35F6E}">
  <sheetPr>
    <tabColor rgb="FF68D290"/>
  </sheetPr>
  <dimension ref="B1:M50"/>
  <sheetViews>
    <sheetView showGridLines="0" zoomScale="90" zoomScaleNormal="90" workbookViewId="0"/>
  </sheetViews>
  <sheetFormatPr defaultRowHeight="14.4" x14ac:dyDescent="0.3"/>
  <cols>
    <col min="2" max="2" width="15.88671875" customWidth="1"/>
    <col min="3" max="3" width="22.33203125" customWidth="1"/>
    <col min="4" max="4" width="17.109375" customWidth="1"/>
    <col min="5" max="5" width="11" customWidth="1"/>
    <col min="6" max="6" width="15.33203125" customWidth="1"/>
    <col min="7" max="8" width="11" customWidth="1"/>
    <col min="9" max="9" width="10.77734375" bestFit="1" customWidth="1"/>
    <col min="11" max="11" width="70.33203125" customWidth="1"/>
  </cols>
  <sheetData>
    <row r="1" spans="2:13" ht="22.2" customHeight="1" thickBot="1" x14ac:dyDescent="0.35">
      <c r="B1" s="66" t="s">
        <v>278</v>
      </c>
      <c r="C1" s="66"/>
      <c r="D1" s="66"/>
      <c r="E1" s="66"/>
      <c r="F1" s="66"/>
      <c r="G1" s="66"/>
      <c r="H1" s="66"/>
      <c r="I1" s="66"/>
      <c r="J1" s="66"/>
      <c r="K1" s="66"/>
      <c r="L1" s="66"/>
      <c r="M1" s="68"/>
    </row>
    <row r="2" spans="2:13" ht="15" thickTop="1" x14ac:dyDescent="0.3">
      <c r="B2" t="s">
        <v>431</v>
      </c>
    </row>
    <row r="3" spans="2:13" x14ac:dyDescent="0.3">
      <c r="B3" t="s">
        <v>432</v>
      </c>
    </row>
    <row r="4" spans="2:13" x14ac:dyDescent="0.3">
      <c r="B4" t="s">
        <v>433</v>
      </c>
    </row>
    <row r="5" spans="2:13" x14ac:dyDescent="0.3">
      <c r="B5" t="s">
        <v>434</v>
      </c>
    </row>
    <row r="6" spans="2:13" x14ac:dyDescent="0.3">
      <c r="B6" t="s">
        <v>435</v>
      </c>
    </row>
    <row r="7" spans="2:13" x14ac:dyDescent="0.3">
      <c r="B7" t="s">
        <v>279</v>
      </c>
    </row>
    <row r="8" spans="2:13" x14ac:dyDescent="0.3">
      <c r="B8" t="s">
        <v>436</v>
      </c>
    </row>
    <row r="10" spans="2:13" x14ac:dyDescent="0.3">
      <c r="B10" s="18" t="s">
        <v>7</v>
      </c>
      <c r="C10" s="59" t="s">
        <v>8</v>
      </c>
      <c r="D10" s="59" t="s">
        <v>0</v>
      </c>
      <c r="E10" s="59" t="s">
        <v>5</v>
      </c>
      <c r="F10" s="59" t="s">
        <v>45</v>
      </c>
      <c r="G10" s="59" t="s">
        <v>29</v>
      </c>
      <c r="H10" s="59" t="s">
        <v>30</v>
      </c>
      <c r="I10" s="60" t="s">
        <v>6</v>
      </c>
    </row>
    <row r="11" spans="2:13" x14ac:dyDescent="0.3">
      <c r="B11" s="58" t="s">
        <v>236</v>
      </c>
      <c r="C11" s="2" t="s">
        <v>16</v>
      </c>
      <c r="D11" s="1" t="s">
        <v>31</v>
      </c>
      <c r="E11" s="1" t="s">
        <v>36</v>
      </c>
      <c r="F11" s="1" t="s">
        <v>46</v>
      </c>
      <c r="G11" s="3">
        <v>85001.25</v>
      </c>
      <c r="H11" s="1">
        <v>6</v>
      </c>
      <c r="I11" s="67">
        <v>510003</v>
      </c>
      <c r="K11" s="62" t="s">
        <v>281</v>
      </c>
      <c r="L11" s="225">
        <f>+COUNTA(Baza[Broj transakcije])</f>
        <v>40</v>
      </c>
    </row>
    <row r="12" spans="2:13" x14ac:dyDescent="0.3">
      <c r="B12" s="58" t="s">
        <v>237</v>
      </c>
      <c r="C12" s="2" t="s">
        <v>13</v>
      </c>
      <c r="D12" s="1" t="s">
        <v>32</v>
      </c>
      <c r="E12" s="1" t="s">
        <v>2</v>
      </c>
      <c r="F12" s="1" t="s">
        <v>46</v>
      </c>
      <c r="G12" s="3">
        <v>240121</v>
      </c>
      <c r="H12" s="1">
        <v>1</v>
      </c>
      <c r="I12" s="67">
        <v>240120.75</v>
      </c>
      <c r="K12" s="62" t="s">
        <v>42</v>
      </c>
      <c r="L12" s="225">
        <f>+COUNTIF(Baza[Proizvod],$D$11)</f>
        <v>10</v>
      </c>
    </row>
    <row r="13" spans="2:13" x14ac:dyDescent="0.3">
      <c r="B13" s="58" t="s">
        <v>238</v>
      </c>
      <c r="C13" s="2" t="s">
        <v>28</v>
      </c>
      <c r="D13" s="1" t="s">
        <v>33</v>
      </c>
      <c r="E13" s="1" t="s">
        <v>3</v>
      </c>
      <c r="F13" s="1" t="s">
        <v>47</v>
      </c>
      <c r="G13" s="3">
        <v>18020.3</v>
      </c>
      <c r="H13" s="1">
        <v>10</v>
      </c>
      <c r="I13" s="67">
        <v>180203</v>
      </c>
      <c r="K13" s="188" t="s">
        <v>277</v>
      </c>
      <c r="L13" s="226">
        <f>+COUNTIFS(Baza[Proizvod],$D$19,Baza[Grad],$E$17,Baza[Način plaćanja],$F$15,Baza[Količina],"&gt;3")</f>
        <v>1</v>
      </c>
    </row>
    <row r="14" spans="2:13" x14ac:dyDescent="0.3">
      <c r="B14" s="58" t="s">
        <v>239</v>
      </c>
      <c r="C14" s="2" t="s">
        <v>11</v>
      </c>
      <c r="D14" s="1" t="s">
        <v>34</v>
      </c>
      <c r="E14" s="1" t="s">
        <v>4</v>
      </c>
      <c r="F14" s="1" t="s">
        <v>46</v>
      </c>
      <c r="G14" s="3">
        <v>95230.1</v>
      </c>
      <c r="H14" s="1">
        <v>4</v>
      </c>
      <c r="I14" s="67">
        <v>380920.4</v>
      </c>
      <c r="K14" s="189"/>
      <c r="L14" s="227"/>
    </row>
    <row r="15" spans="2:13" x14ac:dyDescent="0.3">
      <c r="B15" s="58" t="s">
        <v>240</v>
      </c>
      <c r="C15" s="2" t="s">
        <v>25</v>
      </c>
      <c r="D15" s="1" t="s">
        <v>35</v>
      </c>
      <c r="E15" s="1" t="s">
        <v>37</v>
      </c>
      <c r="F15" s="1" t="s">
        <v>46</v>
      </c>
      <c r="G15" s="3">
        <v>159851.6</v>
      </c>
      <c r="H15" s="1">
        <v>2</v>
      </c>
      <c r="I15" s="67">
        <v>319701.2</v>
      </c>
      <c r="K15" s="62" t="s">
        <v>43</v>
      </c>
      <c r="L15" s="228">
        <f>+AVERAGEIFS(Baza[Količina],Baza[Proizvod],$D$17,Baza[Grad],$E$16)</f>
        <v>8.6666666666666661</v>
      </c>
    </row>
    <row r="16" spans="2:13" x14ac:dyDescent="0.3">
      <c r="B16" s="58" t="s">
        <v>241</v>
      </c>
      <c r="C16" s="2" t="s">
        <v>14</v>
      </c>
      <c r="D16" s="1" t="s">
        <v>31</v>
      </c>
      <c r="E16" s="1" t="s">
        <v>38</v>
      </c>
      <c r="F16" s="1" t="s">
        <v>46</v>
      </c>
      <c r="G16" s="3">
        <v>85100.9</v>
      </c>
      <c r="H16" s="1">
        <v>9</v>
      </c>
      <c r="I16" s="67">
        <v>765902.25</v>
      </c>
      <c r="K16" s="62" t="s">
        <v>44</v>
      </c>
      <c r="L16" s="225">
        <f>+SUMIFS(Baza[Količina],Baza[Proizvod],$D$27,Baza[Grad],$E$27)</f>
        <v>5</v>
      </c>
    </row>
    <row r="17" spans="2:12" x14ac:dyDescent="0.3">
      <c r="B17" s="58" t="s">
        <v>242</v>
      </c>
      <c r="C17" s="2" t="s">
        <v>18</v>
      </c>
      <c r="D17" s="1" t="s">
        <v>33</v>
      </c>
      <c r="E17" s="1" t="s">
        <v>39</v>
      </c>
      <c r="F17" s="1" t="s">
        <v>47</v>
      </c>
      <c r="G17" s="3">
        <v>18016.75</v>
      </c>
      <c r="H17" s="1">
        <v>16</v>
      </c>
      <c r="I17" s="67">
        <v>288252.79999999999</v>
      </c>
      <c r="K17" s="62" t="s">
        <v>280</v>
      </c>
      <c r="L17" s="225">
        <f>+SUMIFS(Baza[Količina],Baza[Proizvod],$D$12,Baza[Način plaćanja],$F$12,Baza[Grad],$E$12)</f>
        <v>3</v>
      </c>
    </row>
    <row r="18" spans="2:12" x14ac:dyDescent="0.3">
      <c r="B18" s="58" t="s">
        <v>243</v>
      </c>
      <c r="C18" s="2" t="s">
        <v>27</v>
      </c>
      <c r="D18" s="1" t="s">
        <v>32</v>
      </c>
      <c r="E18" s="1" t="s">
        <v>40</v>
      </c>
      <c r="F18" s="1"/>
      <c r="G18" s="3">
        <v>240301.2</v>
      </c>
      <c r="H18" s="1">
        <v>3</v>
      </c>
      <c r="I18" s="67">
        <v>720902.7</v>
      </c>
    </row>
    <row r="19" spans="2:12" x14ac:dyDescent="0.3">
      <c r="B19" s="58" t="s">
        <v>244</v>
      </c>
      <c r="C19" s="2" t="s">
        <v>12</v>
      </c>
      <c r="D19" s="1" t="s">
        <v>34</v>
      </c>
      <c r="E19" s="1" t="s">
        <v>41</v>
      </c>
      <c r="F19" s="1" t="s">
        <v>46</v>
      </c>
      <c r="G19" s="3">
        <v>95120.4</v>
      </c>
      <c r="H19" s="1">
        <v>6</v>
      </c>
      <c r="I19" s="67">
        <v>570722.39999999991</v>
      </c>
    </row>
    <row r="20" spans="2:12" ht="14.4" customHeight="1" x14ac:dyDescent="0.3">
      <c r="B20" s="58" t="s">
        <v>245</v>
      </c>
      <c r="C20" s="2" t="s">
        <v>19</v>
      </c>
      <c r="D20" s="1" t="s">
        <v>31</v>
      </c>
      <c r="E20" s="1" t="s">
        <v>1</v>
      </c>
      <c r="F20" s="1" t="s">
        <v>47</v>
      </c>
      <c r="G20" s="3">
        <v>84950</v>
      </c>
      <c r="H20" s="1">
        <v>5</v>
      </c>
      <c r="I20" s="67">
        <v>424750</v>
      </c>
      <c r="K20" s="190" t="s">
        <v>284</v>
      </c>
      <c r="L20" s="191"/>
    </row>
    <row r="21" spans="2:12" ht="14.4" customHeight="1" x14ac:dyDescent="0.3">
      <c r="B21" s="58" t="s">
        <v>246</v>
      </c>
      <c r="C21" s="2" t="s">
        <v>10</v>
      </c>
      <c r="D21" s="1" t="s">
        <v>35</v>
      </c>
      <c r="E21" s="1" t="s">
        <v>1</v>
      </c>
      <c r="F21" s="1" t="s">
        <v>46</v>
      </c>
      <c r="G21" s="3">
        <v>160051.75</v>
      </c>
      <c r="H21" s="1">
        <v>2</v>
      </c>
      <c r="I21" s="67">
        <v>320101.5</v>
      </c>
      <c r="K21" s="192"/>
      <c r="L21" s="193"/>
    </row>
    <row r="22" spans="2:12" x14ac:dyDescent="0.3">
      <c r="B22" s="58" t="s">
        <v>247</v>
      </c>
      <c r="C22" s="2" t="s">
        <v>21</v>
      </c>
      <c r="D22" s="1" t="s">
        <v>32</v>
      </c>
      <c r="E22" s="1" t="s">
        <v>1</v>
      </c>
      <c r="F22" s="1" t="s">
        <v>46</v>
      </c>
      <c r="G22" s="3">
        <v>239950.2</v>
      </c>
      <c r="H22" s="1">
        <v>2</v>
      </c>
      <c r="I22" s="67">
        <v>479900.4</v>
      </c>
      <c r="K22" s="194" t="s">
        <v>288</v>
      </c>
      <c r="L22" s="195"/>
    </row>
    <row r="23" spans="2:12" x14ac:dyDescent="0.3">
      <c r="B23" s="58" t="s">
        <v>248</v>
      </c>
      <c r="C23" s="2" t="s">
        <v>20</v>
      </c>
      <c r="D23" s="1" t="s">
        <v>31</v>
      </c>
      <c r="E23" s="1" t="s">
        <v>1</v>
      </c>
      <c r="F23" s="1" t="s">
        <v>47</v>
      </c>
      <c r="G23" s="3">
        <v>85080.1</v>
      </c>
      <c r="H23" s="1">
        <v>4</v>
      </c>
      <c r="I23" s="67">
        <v>340320.4</v>
      </c>
      <c r="K23" s="196" t="s">
        <v>285</v>
      </c>
      <c r="L23" s="195"/>
    </row>
    <row r="24" spans="2:12" x14ac:dyDescent="0.3">
      <c r="B24" s="58" t="s">
        <v>249</v>
      </c>
      <c r="C24" s="2" t="s">
        <v>22</v>
      </c>
      <c r="D24" s="1" t="s">
        <v>33</v>
      </c>
      <c r="E24" s="1" t="s">
        <v>2</v>
      </c>
      <c r="F24" s="1" t="s">
        <v>47</v>
      </c>
      <c r="G24" s="3">
        <v>18011.599999999999</v>
      </c>
      <c r="H24" s="1">
        <v>12</v>
      </c>
      <c r="I24" s="67">
        <v>216127.19999999998</v>
      </c>
      <c r="K24" s="196" t="s">
        <v>437</v>
      </c>
      <c r="L24" s="195"/>
    </row>
    <row r="25" spans="2:12" x14ac:dyDescent="0.3">
      <c r="B25" s="58" t="s">
        <v>250</v>
      </c>
      <c r="C25" s="2" t="s">
        <v>9</v>
      </c>
      <c r="D25" s="1" t="s">
        <v>34</v>
      </c>
      <c r="E25" s="1" t="s">
        <v>4</v>
      </c>
      <c r="F25" s="1" t="s">
        <v>46</v>
      </c>
      <c r="G25" s="3">
        <v>94981.2</v>
      </c>
      <c r="H25" s="1">
        <v>8</v>
      </c>
      <c r="I25" s="67">
        <v>759847.2</v>
      </c>
      <c r="K25" s="194" t="s">
        <v>289</v>
      </c>
      <c r="L25" s="195"/>
    </row>
    <row r="26" spans="2:12" x14ac:dyDescent="0.3">
      <c r="B26" s="58" t="s">
        <v>251</v>
      </c>
      <c r="C26" s="2" t="s">
        <v>24</v>
      </c>
      <c r="D26" s="1" t="s">
        <v>32</v>
      </c>
      <c r="E26" s="1" t="s">
        <v>3</v>
      </c>
      <c r="F26" s="1" t="s">
        <v>46</v>
      </c>
      <c r="G26" s="3">
        <v>240201.5</v>
      </c>
      <c r="H26" s="1">
        <v>3</v>
      </c>
      <c r="I26" s="67">
        <v>720601.5</v>
      </c>
      <c r="K26" s="196" t="s">
        <v>286</v>
      </c>
      <c r="L26" s="195"/>
    </row>
    <row r="27" spans="2:12" x14ac:dyDescent="0.3">
      <c r="B27" s="58" t="s">
        <v>252</v>
      </c>
      <c r="C27" s="2" t="s">
        <v>17</v>
      </c>
      <c r="D27" s="1" t="s">
        <v>35</v>
      </c>
      <c r="E27" s="1" t="s">
        <v>37</v>
      </c>
      <c r="F27" s="1" t="s">
        <v>46</v>
      </c>
      <c r="G27" s="3">
        <v>160120.29999999999</v>
      </c>
      <c r="H27" s="1">
        <v>1</v>
      </c>
      <c r="I27" s="67">
        <v>160120.29999999999</v>
      </c>
      <c r="K27" s="186" t="s">
        <v>438</v>
      </c>
      <c r="L27" s="187"/>
    </row>
    <row r="28" spans="2:12" x14ac:dyDescent="0.3">
      <c r="B28" s="58" t="s">
        <v>253</v>
      </c>
      <c r="C28" s="2" t="s">
        <v>23</v>
      </c>
      <c r="D28" s="1" t="s">
        <v>31</v>
      </c>
      <c r="E28" s="1"/>
      <c r="F28" s="1" t="s">
        <v>47</v>
      </c>
      <c r="G28" s="3">
        <v>84990.399999999994</v>
      </c>
      <c r="H28" s="1">
        <v>5</v>
      </c>
      <c r="I28" s="67">
        <v>424952</v>
      </c>
      <c r="K28" s="91" t="s">
        <v>287</v>
      </c>
      <c r="L28" s="229">
        <f>+COUNTBLANK(Baza[])</f>
        <v>4</v>
      </c>
    </row>
    <row r="29" spans="2:12" x14ac:dyDescent="0.3">
      <c r="B29" s="58" t="s">
        <v>254</v>
      </c>
      <c r="C29" s="2" t="s">
        <v>26</v>
      </c>
      <c r="D29" s="1" t="s">
        <v>33</v>
      </c>
      <c r="E29" s="1" t="s">
        <v>38</v>
      </c>
      <c r="F29" s="1" t="s">
        <v>47</v>
      </c>
      <c r="G29" s="3">
        <v>18025.150000000001</v>
      </c>
      <c r="H29" s="1">
        <v>9</v>
      </c>
      <c r="I29" s="67">
        <v>162226.35</v>
      </c>
    </row>
    <row r="30" spans="2:12" x14ac:dyDescent="0.3">
      <c r="B30" s="58" t="s">
        <v>255</v>
      </c>
      <c r="C30" s="2" t="s">
        <v>15</v>
      </c>
      <c r="D30" s="1" t="s">
        <v>34</v>
      </c>
      <c r="E30" s="1" t="s">
        <v>39</v>
      </c>
      <c r="F30" s="1" t="s">
        <v>46</v>
      </c>
      <c r="G30" s="3">
        <v>95111.7</v>
      </c>
      <c r="H30" s="1">
        <v>5</v>
      </c>
      <c r="I30" s="67">
        <v>475553.5</v>
      </c>
    </row>
    <row r="31" spans="2:12" x14ac:dyDescent="0.3">
      <c r="B31" s="58" t="s">
        <v>256</v>
      </c>
      <c r="C31" s="1" t="s">
        <v>12</v>
      </c>
      <c r="D31" s="1" t="s">
        <v>31</v>
      </c>
      <c r="E31" s="1" t="s">
        <v>41</v>
      </c>
      <c r="F31" s="1"/>
      <c r="G31" s="1">
        <v>85000.5</v>
      </c>
      <c r="H31" s="1">
        <v>4</v>
      </c>
      <c r="I31" s="67">
        <v>340002</v>
      </c>
    </row>
    <row r="32" spans="2:12" x14ac:dyDescent="0.3">
      <c r="B32" s="58" t="s">
        <v>257</v>
      </c>
      <c r="C32" s="1" t="s">
        <v>13</v>
      </c>
      <c r="D32" s="1" t="s">
        <v>32</v>
      </c>
      <c r="E32" s="1" t="s">
        <v>2</v>
      </c>
      <c r="F32" s="1" t="s">
        <v>46</v>
      </c>
      <c r="G32" s="1">
        <v>240120.75</v>
      </c>
      <c r="H32" s="1">
        <v>2</v>
      </c>
      <c r="I32" s="67">
        <v>480241.5</v>
      </c>
    </row>
    <row r="33" spans="2:9" x14ac:dyDescent="0.3">
      <c r="B33" s="58" t="s">
        <v>258</v>
      </c>
      <c r="C33" s="1" t="s">
        <v>16</v>
      </c>
      <c r="D33" s="1" t="s">
        <v>33</v>
      </c>
      <c r="E33" s="1" t="s">
        <v>36</v>
      </c>
      <c r="F33" s="1" t="s">
        <v>47</v>
      </c>
      <c r="G33" s="1">
        <v>18020.3</v>
      </c>
      <c r="H33" s="1">
        <v>2</v>
      </c>
      <c r="I33" s="67">
        <v>36040.6</v>
      </c>
    </row>
    <row r="34" spans="2:9" x14ac:dyDescent="0.3">
      <c r="B34" s="58" t="s">
        <v>259</v>
      </c>
      <c r="C34" s="1" t="s">
        <v>25</v>
      </c>
      <c r="D34" s="1" t="s">
        <v>34</v>
      </c>
      <c r="E34" s="1" t="s">
        <v>37</v>
      </c>
      <c r="F34" s="1" t="s">
        <v>46</v>
      </c>
      <c r="G34" s="1">
        <v>95230.1</v>
      </c>
      <c r="H34" s="1">
        <v>1</v>
      </c>
      <c r="I34" s="67">
        <v>95230.1</v>
      </c>
    </row>
    <row r="35" spans="2:9" x14ac:dyDescent="0.3">
      <c r="B35" s="58" t="s">
        <v>260</v>
      </c>
      <c r="C35" s="1" t="s">
        <v>28</v>
      </c>
      <c r="D35" s="1" t="s">
        <v>35</v>
      </c>
      <c r="E35" s="1" t="s">
        <v>3</v>
      </c>
      <c r="F35" s="1" t="s">
        <v>46</v>
      </c>
      <c r="G35" s="1">
        <v>159850.6</v>
      </c>
      <c r="H35" s="1">
        <v>3</v>
      </c>
      <c r="I35" s="67">
        <v>479551.80000000005</v>
      </c>
    </row>
    <row r="36" spans="2:9" x14ac:dyDescent="0.3">
      <c r="B36" s="58" t="s">
        <v>261</v>
      </c>
      <c r="C36" s="1" t="s">
        <v>11</v>
      </c>
      <c r="D36" s="1" t="s">
        <v>31</v>
      </c>
      <c r="E36" s="1" t="s">
        <v>4</v>
      </c>
      <c r="F36" s="1" t="s">
        <v>46</v>
      </c>
      <c r="G36" s="1">
        <v>85100.25</v>
      </c>
      <c r="H36" s="1">
        <v>2</v>
      </c>
      <c r="I36" s="67">
        <v>170200.5</v>
      </c>
    </row>
    <row r="37" spans="2:9" x14ac:dyDescent="0.3">
      <c r="B37" s="58" t="s">
        <v>262</v>
      </c>
      <c r="C37" s="1" t="s">
        <v>14</v>
      </c>
      <c r="D37" s="1" t="s">
        <v>33</v>
      </c>
      <c r="E37" s="1" t="s">
        <v>38</v>
      </c>
      <c r="F37" s="1" t="s">
        <v>47</v>
      </c>
      <c r="G37" s="1">
        <v>18015.8</v>
      </c>
      <c r="H37" s="1">
        <v>4</v>
      </c>
      <c r="I37" s="67">
        <v>72063.199999999997</v>
      </c>
    </row>
    <row r="38" spans="2:9" x14ac:dyDescent="0.3">
      <c r="B38" s="58" t="s">
        <v>263</v>
      </c>
      <c r="C38" s="1" t="s">
        <v>18</v>
      </c>
      <c r="D38" s="1" t="s">
        <v>32</v>
      </c>
      <c r="E38" s="1" t="s">
        <v>39</v>
      </c>
      <c r="F38" s="1" t="s">
        <v>46</v>
      </c>
      <c r="G38" s="1">
        <v>240300.9</v>
      </c>
      <c r="H38" s="1">
        <v>2</v>
      </c>
      <c r="I38" s="67">
        <v>480601.8</v>
      </c>
    </row>
    <row r="39" spans="2:9" x14ac:dyDescent="0.3">
      <c r="B39" s="58" t="s">
        <v>264</v>
      </c>
      <c r="C39" s="1" t="s">
        <v>27</v>
      </c>
      <c r="D39" s="1" t="s">
        <v>34</v>
      </c>
      <c r="E39" s="1" t="s">
        <v>40</v>
      </c>
      <c r="F39" s="1"/>
      <c r="G39" s="1">
        <v>95120.4</v>
      </c>
      <c r="H39" s="1">
        <v>3</v>
      </c>
      <c r="I39" s="67">
        <v>285361.19999999995</v>
      </c>
    </row>
    <row r="40" spans="2:9" x14ac:dyDescent="0.3">
      <c r="B40" s="58" t="s">
        <v>265</v>
      </c>
      <c r="C40" s="1" t="s">
        <v>19</v>
      </c>
      <c r="D40" s="1" t="s">
        <v>31</v>
      </c>
      <c r="E40" s="1" t="s">
        <v>1</v>
      </c>
      <c r="F40" s="1" t="s">
        <v>47</v>
      </c>
      <c r="G40" s="1">
        <v>84950</v>
      </c>
      <c r="H40" s="1">
        <v>1</v>
      </c>
      <c r="I40" s="67">
        <v>84950</v>
      </c>
    </row>
    <row r="41" spans="2:9" x14ac:dyDescent="0.3">
      <c r="B41" s="58" t="s">
        <v>266</v>
      </c>
      <c r="C41" s="1" t="s">
        <v>10</v>
      </c>
      <c r="D41" s="1" t="s">
        <v>35</v>
      </c>
      <c r="E41" s="1" t="s">
        <v>1</v>
      </c>
      <c r="F41" s="1" t="s">
        <v>46</v>
      </c>
      <c r="G41" s="1">
        <v>160050.75</v>
      </c>
      <c r="H41" s="1">
        <v>3</v>
      </c>
      <c r="I41" s="67">
        <v>480152.25</v>
      </c>
    </row>
    <row r="42" spans="2:9" x14ac:dyDescent="0.3">
      <c r="B42" s="58" t="s">
        <v>267</v>
      </c>
      <c r="C42" s="1" t="s">
        <v>21</v>
      </c>
      <c r="D42" s="1" t="s">
        <v>32</v>
      </c>
      <c r="E42" s="1" t="s">
        <v>1</v>
      </c>
      <c r="F42" s="1" t="s">
        <v>46</v>
      </c>
      <c r="G42" s="1">
        <v>239950.2</v>
      </c>
      <c r="H42" s="1">
        <v>2</v>
      </c>
      <c r="I42" s="67">
        <v>479900.4</v>
      </c>
    </row>
    <row r="43" spans="2:9" x14ac:dyDescent="0.3">
      <c r="B43" s="58" t="s">
        <v>268</v>
      </c>
      <c r="C43" s="1" t="s">
        <v>20</v>
      </c>
      <c r="D43" s="1" t="s">
        <v>31</v>
      </c>
      <c r="E43" s="1" t="s">
        <v>1</v>
      </c>
      <c r="F43" s="1" t="s">
        <v>47</v>
      </c>
      <c r="G43" s="1">
        <v>85080.1</v>
      </c>
      <c r="H43" s="1">
        <v>1</v>
      </c>
      <c r="I43" s="67">
        <v>85080.1</v>
      </c>
    </row>
    <row r="44" spans="2:9" x14ac:dyDescent="0.3">
      <c r="B44" s="58" t="s">
        <v>269</v>
      </c>
      <c r="C44" s="1" t="s">
        <v>22</v>
      </c>
      <c r="D44" s="1" t="s">
        <v>33</v>
      </c>
      <c r="E44" s="1" t="s">
        <v>2</v>
      </c>
      <c r="F44" s="1" t="s">
        <v>47</v>
      </c>
      <c r="G44" s="1">
        <v>18010.599999999999</v>
      </c>
      <c r="H44" s="1">
        <v>7</v>
      </c>
      <c r="I44" s="67">
        <v>126074.19999999998</v>
      </c>
    </row>
    <row r="45" spans="2:9" x14ac:dyDescent="0.3">
      <c r="B45" s="58" t="s">
        <v>270</v>
      </c>
      <c r="C45" s="1" t="s">
        <v>9</v>
      </c>
      <c r="D45" s="1" t="s">
        <v>34</v>
      </c>
      <c r="E45" s="1" t="s">
        <v>4</v>
      </c>
      <c r="F45" s="1" t="s">
        <v>46</v>
      </c>
      <c r="G45" s="1">
        <v>94980.9</v>
      </c>
      <c r="H45" s="1">
        <v>3</v>
      </c>
      <c r="I45" s="67">
        <v>284942.69999999995</v>
      </c>
    </row>
    <row r="46" spans="2:9" x14ac:dyDescent="0.3">
      <c r="B46" s="58" t="s">
        <v>271</v>
      </c>
      <c r="C46" s="1" t="s">
        <v>24</v>
      </c>
      <c r="D46" s="1" t="s">
        <v>32</v>
      </c>
      <c r="E46" s="1" t="s">
        <v>3</v>
      </c>
      <c r="F46" s="1" t="s">
        <v>46</v>
      </c>
      <c r="G46" s="1">
        <v>240200.5</v>
      </c>
      <c r="H46" s="1">
        <v>4</v>
      </c>
      <c r="I46" s="67">
        <v>960802</v>
      </c>
    </row>
    <row r="47" spans="2:9" x14ac:dyDescent="0.3">
      <c r="B47" s="58" t="s">
        <v>272</v>
      </c>
      <c r="C47" s="1" t="s">
        <v>17</v>
      </c>
      <c r="D47" s="1" t="s">
        <v>35</v>
      </c>
      <c r="E47" s="1" t="s">
        <v>37</v>
      </c>
      <c r="F47" s="1" t="s">
        <v>46</v>
      </c>
      <c r="G47" s="1">
        <v>160120.29999999999</v>
      </c>
      <c r="H47" s="1">
        <v>2</v>
      </c>
      <c r="I47" s="67">
        <v>320240.59999999998</v>
      </c>
    </row>
    <row r="48" spans="2:9" x14ac:dyDescent="0.3">
      <c r="B48" s="58" t="s">
        <v>273</v>
      </c>
      <c r="C48" s="1" t="s">
        <v>23</v>
      </c>
      <c r="D48" s="1" t="s">
        <v>31</v>
      </c>
      <c r="E48" s="1" t="s">
        <v>36</v>
      </c>
      <c r="F48" s="1" t="s">
        <v>47</v>
      </c>
      <c r="G48" s="1">
        <v>84990.399999999994</v>
      </c>
      <c r="H48" s="1">
        <v>3</v>
      </c>
      <c r="I48" s="67">
        <v>254971.19999999998</v>
      </c>
    </row>
    <row r="49" spans="2:9" x14ac:dyDescent="0.3">
      <c r="B49" s="58" t="s">
        <v>274</v>
      </c>
      <c r="C49" s="1" t="s">
        <v>26</v>
      </c>
      <c r="D49" s="1" t="s">
        <v>33</v>
      </c>
      <c r="E49" s="1" t="s">
        <v>38</v>
      </c>
      <c r="F49" s="1" t="s">
        <v>47</v>
      </c>
      <c r="G49" s="1">
        <v>18025.150000000001</v>
      </c>
      <c r="H49" s="1">
        <v>13</v>
      </c>
      <c r="I49" s="67">
        <v>234326.95</v>
      </c>
    </row>
    <row r="50" spans="2:9" x14ac:dyDescent="0.3">
      <c r="B50" s="61" t="s">
        <v>275</v>
      </c>
      <c r="C50" s="21" t="s">
        <v>15</v>
      </c>
      <c r="D50" s="21" t="s">
        <v>34</v>
      </c>
      <c r="E50" s="21" t="s">
        <v>39</v>
      </c>
      <c r="F50" s="21" t="s">
        <v>46</v>
      </c>
      <c r="G50" s="21">
        <v>95110.7</v>
      </c>
      <c r="H50" s="21">
        <v>2</v>
      </c>
      <c r="I50" s="25">
        <v>190221.4</v>
      </c>
    </row>
  </sheetData>
  <mergeCells count="9">
    <mergeCell ref="K27:L27"/>
    <mergeCell ref="K13:K14"/>
    <mergeCell ref="L13:L14"/>
    <mergeCell ref="K20:L21"/>
    <mergeCell ref="K22:L22"/>
    <mergeCell ref="K23:L23"/>
    <mergeCell ref="K24:L24"/>
    <mergeCell ref="K25:L25"/>
    <mergeCell ref="K26:L26"/>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E5160-17AB-49FE-89E0-449682CC2812}">
  <sheetPr>
    <tabColor rgb="FF68D290"/>
  </sheetPr>
  <dimension ref="B1:T25"/>
  <sheetViews>
    <sheetView showGridLines="0" zoomScale="90" zoomScaleNormal="90" workbookViewId="0"/>
  </sheetViews>
  <sheetFormatPr defaultRowHeight="14.4" x14ac:dyDescent="0.3"/>
  <cols>
    <col min="1" max="1" width="7" customWidth="1"/>
    <col min="2" max="2" width="18" customWidth="1"/>
    <col min="3" max="3" width="12.44140625" customWidth="1"/>
    <col min="4" max="4" width="12.88671875" customWidth="1"/>
    <col min="5" max="5" width="14.88671875" customWidth="1"/>
    <col min="6" max="6" width="7.21875" customWidth="1"/>
    <col min="7" max="7" width="6.5546875" bestFit="1" customWidth="1"/>
    <col min="8" max="8" width="4.5546875" bestFit="1" customWidth="1"/>
    <col min="9" max="9" width="13.44140625" customWidth="1"/>
    <col min="10" max="10" width="15.5546875" customWidth="1"/>
    <col min="11" max="11" width="22.21875" customWidth="1"/>
    <col min="12" max="12" width="13.88671875" customWidth="1"/>
    <col min="13" max="13" width="14.21875" customWidth="1"/>
    <col min="14" max="14" width="5.109375" customWidth="1"/>
    <col min="15" max="15" width="6.21875" customWidth="1"/>
    <col min="16" max="16" width="12.5546875" bestFit="1" customWidth="1"/>
    <col min="19" max="19" width="8.88671875" customWidth="1"/>
  </cols>
  <sheetData>
    <row r="1" spans="2:20" ht="25.2" customHeight="1" thickBot="1" x14ac:dyDescent="0.35">
      <c r="B1" s="66" t="s">
        <v>341</v>
      </c>
      <c r="C1" s="66"/>
      <c r="D1" s="66"/>
      <c r="E1" s="66"/>
      <c r="F1" s="66"/>
      <c r="G1" s="66"/>
      <c r="H1" s="66"/>
      <c r="I1" s="66"/>
      <c r="J1" s="66"/>
      <c r="K1" s="66"/>
      <c r="L1" s="66"/>
      <c r="M1" s="66"/>
      <c r="N1" s="66"/>
      <c r="O1" s="66"/>
      <c r="P1" s="66"/>
      <c r="Q1" s="66"/>
      <c r="R1" s="66"/>
      <c r="S1" s="66"/>
      <c r="T1" s="69"/>
    </row>
    <row r="2" spans="2:20" ht="25.2" customHeight="1" thickTop="1" x14ac:dyDescent="0.35">
      <c r="B2" s="75" t="s">
        <v>324</v>
      </c>
      <c r="C2" s="7"/>
      <c r="D2" s="7"/>
      <c r="E2" s="7"/>
      <c r="F2" s="7"/>
      <c r="G2" s="7"/>
      <c r="H2" s="7"/>
      <c r="I2" s="7"/>
      <c r="J2" s="75" t="s">
        <v>340</v>
      </c>
      <c r="K2" s="7"/>
      <c r="L2" s="7"/>
      <c r="M2" s="7"/>
      <c r="N2" s="7"/>
      <c r="O2" s="7"/>
      <c r="P2" s="197" t="s">
        <v>344</v>
      </c>
      <c r="Q2" s="197"/>
      <c r="R2" s="197"/>
      <c r="S2" s="197"/>
      <c r="T2" s="7"/>
    </row>
    <row r="3" spans="2:20" x14ac:dyDescent="0.3">
      <c r="B3" s="7" t="s">
        <v>320</v>
      </c>
      <c r="C3" s="7"/>
      <c r="D3" s="7"/>
      <c r="E3" s="7"/>
      <c r="F3" s="7"/>
      <c r="G3" s="7"/>
      <c r="H3" s="7"/>
      <c r="I3" s="7"/>
      <c r="J3" s="7" t="s">
        <v>334</v>
      </c>
      <c r="K3" s="7"/>
      <c r="L3" s="7"/>
      <c r="M3" s="7"/>
      <c r="N3" s="7"/>
      <c r="O3" s="7"/>
      <c r="P3" s="198"/>
      <c r="Q3" s="198"/>
      <c r="R3" s="198"/>
      <c r="S3" s="198"/>
      <c r="T3" s="7"/>
    </row>
    <row r="4" spans="2:20" ht="14.4" customHeight="1" x14ac:dyDescent="0.3">
      <c r="B4" s="199" t="s">
        <v>321</v>
      </c>
      <c r="C4" s="199"/>
      <c r="D4" s="199"/>
      <c r="E4" s="199"/>
      <c r="F4" s="199"/>
      <c r="G4" s="7"/>
      <c r="H4" s="7"/>
      <c r="I4" s="7"/>
      <c r="J4" s="7" t="s">
        <v>335</v>
      </c>
      <c r="K4" s="7"/>
      <c r="L4" s="7"/>
      <c r="M4" s="7"/>
      <c r="N4" s="7"/>
      <c r="O4" s="7"/>
      <c r="P4" s="198"/>
      <c r="Q4" s="198"/>
      <c r="R4" s="198"/>
      <c r="S4" s="198"/>
      <c r="T4" s="7"/>
    </row>
    <row r="5" spans="2:20" x14ac:dyDescent="0.3">
      <c r="B5" s="199"/>
      <c r="C5" s="199"/>
      <c r="D5" s="199"/>
      <c r="E5" s="199"/>
      <c r="F5" s="199"/>
      <c r="G5" s="7"/>
      <c r="H5" s="7"/>
      <c r="I5" s="7"/>
      <c r="J5" s="7" t="s">
        <v>342</v>
      </c>
      <c r="K5" s="7"/>
      <c r="L5" s="7"/>
      <c r="M5" s="7"/>
      <c r="N5" s="7"/>
      <c r="O5" s="7"/>
      <c r="P5" s="198"/>
      <c r="Q5" s="198"/>
      <c r="R5" s="198"/>
      <c r="S5" s="198"/>
      <c r="T5" s="7"/>
    </row>
    <row r="6" spans="2:20" x14ac:dyDescent="0.3">
      <c r="B6" s="7" t="s">
        <v>322</v>
      </c>
      <c r="C6" s="78"/>
      <c r="D6" s="78"/>
      <c r="E6" s="78"/>
      <c r="F6" s="78"/>
      <c r="G6" s="7"/>
      <c r="H6" s="7"/>
      <c r="I6" s="7"/>
      <c r="J6" s="76" t="s">
        <v>338</v>
      </c>
      <c r="K6" s="7"/>
      <c r="L6" s="7"/>
      <c r="M6" s="7"/>
      <c r="N6" s="7"/>
      <c r="O6" s="7"/>
      <c r="P6" s="198"/>
      <c r="Q6" s="198"/>
      <c r="R6" s="198"/>
      <c r="S6" s="198"/>
      <c r="T6" s="7"/>
    </row>
    <row r="7" spans="2:20" x14ac:dyDescent="0.3">
      <c r="B7" s="7" t="s">
        <v>323</v>
      </c>
      <c r="C7" s="7"/>
      <c r="D7" s="7"/>
      <c r="E7" s="7"/>
      <c r="F7" s="7"/>
      <c r="G7" s="7"/>
      <c r="H7" s="7"/>
      <c r="I7" s="7"/>
      <c r="J7" s="7" t="s">
        <v>337</v>
      </c>
      <c r="K7" s="7"/>
      <c r="L7" s="7"/>
      <c r="M7" s="7"/>
      <c r="N7" s="7"/>
      <c r="O7" s="7"/>
      <c r="P7" s="198"/>
      <c r="Q7" s="198"/>
      <c r="R7" s="198"/>
      <c r="S7" s="198"/>
      <c r="T7" s="7"/>
    </row>
    <row r="8" spans="2:20" x14ac:dyDescent="0.3">
      <c r="B8" s="7"/>
      <c r="C8" s="7"/>
      <c r="D8" s="7"/>
      <c r="E8" s="7"/>
      <c r="F8" s="7"/>
      <c r="G8" s="7"/>
      <c r="H8" s="7"/>
      <c r="I8" s="7"/>
      <c r="J8" s="7"/>
      <c r="K8" s="7"/>
      <c r="L8" s="7"/>
      <c r="M8" s="7"/>
      <c r="N8" s="7"/>
      <c r="O8" s="7"/>
      <c r="P8" s="7"/>
      <c r="Q8" s="7"/>
      <c r="R8" s="7"/>
      <c r="S8" s="7"/>
      <c r="T8" s="7"/>
    </row>
    <row r="10" spans="2:20" ht="27" customHeight="1" x14ac:dyDescent="0.3">
      <c r="B10" s="70" t="s">
        <v>331</v>
      </c>
      <c r="C10" s="71" t="s">
        <v>326</v>
      </c>
      <c r="D10" s="71" t="s">
        <v>327</v>
      </c>
      <c r="E10" s="70" t="s">
        <v>52</v>
      </c>
      <c r="F10" s="71" t="s">
        <v>330</v>
      </c>
      <c r="G10" s="71" t="s">
        <v>328</v>
      </c>
      <c r="H10" s="71" t="s">
        <v>329</v>
      </c>
      <c r="I10" s="70" t="s">
        <v>333</v>
      </c>
      <c r="J10" s="70" t="s">
        <v>332</v>
      </c>
      <c r="K10" s="74" t="s">
        <v>343</v>
      </c>
      <c r="L10" s="74" t="s">
        <v>336</v>
      </c>
      <c r="M10" s="70" t="s">
        <v>339</v>
      </c>
      <c r="O10" s="7"/>
      <c r="P10" s="7"/>
      <c r="Q10" s="7"/>
      <c r="R10" s="7"/>
      <c r="S10" s="7"/>
      <c r="T10" s="7"/>
    </row>
    <row r="11" spans="2:20" x14ac:dyDescent="0.3">
      <c r="B11" s="1" t="s">
        <v>16</v>
      </c>
      <c r="C11" s="72" t="s">
        <v>290</v>
      </c>
      <c r="D11" s="72" t="s">
        <v>305</v>
      </c>
      <c r="E11" s="4">
        <v>44938</v>
      </c>
      <c r="F11" s="72">
        <f>+YEAR(E11)</f>
        <v>2023</v>
      </c>
      <c r="G11" s="72">
        <f>+MONTH(E11)</f>
        <v>1</v>
      </c>
      <c r="H11" s="72">
        <f>+DAY(E11)</f>
        <v>12</v>
      </c>
      <c r="I11" s="73">
        <f>+DATE(F11,G11,H11)</f>
        <v>44938</v>
      </c>
      <c r="J11" s="73">
        <f>+DATE(YEAR(I11),MONTH(I11),DAY(I11)+15)</f>
        <v>44953</v>
      </c>
      <c r="K11" s="73">
        <f>+DATE(YEAR(J11),MONTH(J11)+1,DAY(J11))</f>
        <v>44984</v>
      </c>
      <c r="L11" s="4">
        <v>45356</v>
      </c>
      <c r="M11" s="77">
        <f>IFERROR(DATEDIF(I11,L11,"d")," ")</f>
        <v>418</v>
      </c>
      <c r="O11" s="7"/>
      <c r="P11" s="7"/>
      <c r="Q11" s="7"/>
      <c r="R11" s="7"/>
      <c r="S11" s="7"/>
      <c r="T11" s="7"/>
    </row>
    <row r="12" spans="2:20" x14ac:dyDescent="0.3">
      <c r="B12" s="1" t="s">
        <v>13</v>
      </c>
      <c r="C12" s="72" t="s">
        <v>291</v>
      </c>
      <c r="D12" s="72" t="s">
        <v>306</v>
      </c>
      <c r="E12" s="4">
        <v>44586</v>
      </c>
      <c r="F12" s="72">
        <f t="shared" ref="F12:F25" si="0">+YEAR(E12)</f>
        <v>2022</v>
      </c>
      <c r="G12" s="72">
        <f t="shared" ref="G12:G25" si="1">+MONTH(E12)</f>
        <v>1</v>
      </c>
      <c r="H12" s="72">
        <f t="shared" ref="H12:H25" si="2">+DAY(E12)</f>
        <v>25</v>
      </c>
      <c r="I12" s="73">
        <f t="shared" ref="I12:I25" si="3">+DATE(F12,G12,H12)</f>
        <v>44586</v>
      </c>
      <c r="J12" s="73">
        <f t="shared" ref="J12:J25" si="4">+DATE(YEAR(I12),MONTH(I12),DAY(I12)+15)</f>
        <v>44601</v>
      </c>
      <c r="K12" s="73">
        <f t="shared" ref="K12:K25" si="5">+DATE(YEAR(J12),MONTH(J12)+1,DAY(J12))</f>
        <v>44629</v>
      </c>
      <c r="L12" s="4">
        <v>45846</v>
      </c>
      <c r="M12" s="77">
        <f t="shared" ref="M12:M25" si="6">IFERROR(DATEDIF(I12,L12,"d")," ")</f>
        <v>1260</v>
      </c>
      <c r="O12" s="7"/>
      <c r="P12" s="7"/>
      <c r="Q12" s="7"/>
      <c r="R12" s="7"/>
      <c r="S12" s="7"/>
      <c r="T12" s="7"/>
    </row>
    <row r="13" spans="2:20" x14ac:dyDescent="0.3">
      <c r="B13" s="1" t="s">
        <v>28</v>
      </c>
      <c r="C13" s="72" t="s">
        <v>292</v>
      </c>
      <c r="D13" s="72" t="s">
        <v>307</v>
      </c>
      <c r="E13" s="4">
        <v>45698</v>
      </c>
      <c r="F13" s="72">
        <f t="shared" si="0"/>
        <v>2025</v>
      </c>
      <c r="G13" s="72">
        <f t="shared" si="1"/>
        <v>2</v>
      </c>
      <c r="H13" s="72">
        <f t="shared" si="2"/>
        <v>10</v>
      </c>
      <c r="I13" s="73">
        <f t="shared" si="3"/>
        <v>45698</v>
      </c>
      <c r="J13" s="73">
        <f t="shared" si="4"/>
        <v>45713</v>
      </c>
      <c r="K13" s="73">
        <f t="shared" si="5"/>
        <v>45741</v>
      </c>
      <c r="L13" s="1"/>
      <c r="M13" s="77" t="str">
        <f t="shared" si="6"/>
        <v xml:space="preserve"> </v>
      </c>
      <c r="O13" s="7"/>
      <c r="P13" s="7"/>
      <c r="Q13" s="7"/>
      <c r="R13" s="7"/>
      <c r="S13" s="7"/>
      <c r="T13" s="7"/>
    </row>
    <row r="14" spans="2:20" x14ac:dyDescent="0.3">
      <c r="B14" s="1" t="s">
        <v>11</v>
      </c>
      <c r="C14" s="72" t="s">
        <v>293</v>
      </c>
      <c r="D14" s="72" t="s">
        <v>308</v>
      </c>
      <c r="E14" s="4">
        <v>44245</v>
      </c>
      <c r="F14" s="72">
        <f t="shared" si="0"/>
        <v>2021</v>
      </c>
      <c r="G14" s="72">
        <f t="shared" si="1"/>
        <v>2</v>
      </c>
      <c r="H14" s="72">
        <f t="shared" si="2"/>
        <v>18</v>
      </c>
      <c r="I14" s="73">
        <f t="shared" si="3"/>
        <v>44245</v>
      </c>
      <c r="J14" s="73">
        <f t="shared" si="4"/>
        <v>44260</v>
      </c>
      <c r="K14" s="73">
        <f t="shared" si="5"/>
        <v>44291</v>
      </c>
      <c r="L14" s="1"/>
      <c r="M14" s="77" t="str">
        <f t="shared" si="6"/>
        <v xml:space="preserve"> </v>
      </c>
      <c r="O14" s="7"/>
      <c r="P14" s="7"/>
      <c r="Q14" s="7"/>
      <c r="R14" s="7"/>
      <c r="S14" s="7"/>
      <c r="T14" s="7"/>
    </row>
    <row r="15" spans="2:20" x14ac:dyDescent="0.3">
      <c r="B15" s="1" t="s">
        <v>14</v>
      </c>
      <c r="C15" s="72" t="s">
        <v>295</v>
      </c>
      <c r="D15" s="72" t="s">
        <v>310</v>
      </c>
      <c r="E15" s="4">
        <v>45721</v>
      </c>
      <c r="F15" s="72">
        <f t="shared" si="0"/>
        <v>2025</v>
      </c>
      <c r="G15" s="72">
        <f t="shared" si="1"/>
        <v>3</v>
      </c>
      <c r="H15" s="72">
        <f t="shared" si="2"/>
        <v>5</v>
      </c>
      <c r="I15" s="73">
        <f t="shared" si="3"/>
        <v>45721</v>
      </c>
      <c r="J15" s="73">
        <f t="shared" si="4"/>
        <v>45736</v>
      </c>
      <c r="K15" s="73">
        <f t="shared" si="5"/>
        <v>45767</v>
      </c>
      <c r="L15" s="1"/>
      <c r="M15" s="77" t="str">
        <f t="shared" si="6"/>
        <v xml:space="preserve"> </v>
      </c>
      <c r="O15" s="7"/>
      <c r="P15" s="7"/>
      <c r="Q15" s="7"/>
      <c r="R15" s="7"/>
      <c r="S15" s="7"/>
      <c r="T15" s="7"/>
    </row>
    <row r="16" spans="2:20" x14ac:dyDescent="0.3">
      <c r="B16" s="1" t="s">
        <v>25</v>
      </c>
      <c r="C16" s="72" t="s">
        <v>294</v>
      </c>
      <c r="D16" s="72" t="s">
        <v>309</v>
      </c>
      <c r="E16" s="4">
        <v>45738</v>
      </c>
      <c r="F16" s="72">
        <f t="shared" si="0"/>
        <v>2025</v>
      </c>
      <c r="G16" s="72">
        <f t="shared" si="1"/>
        <v>3</v>
      </c>
      <c r="H16" s="72">
        <f t="shared" si="2"/>
        <v>22</v>
      </c>
      <c r="I16" s="73">
        <f t="shared" si="3"/>
        <v>45738</v>
      </c>
      <c r="J16" s="73">
        <f t="shared" si="4"/>
        <v>45753</v>
      </c>
      <c r="K16" s="73">
        <f t="shared" si="5"/>
        <v>45783</v>
      </c>
      <c r="L16" s="4">
        <v>45853</v>
      </c>
      <c r="M16" s="77">
        <f t="shared" si="6"/>
        <v>115</v>
      </c>
      <c r="O16" s="7"/>
      <c r="P16" s="7"/>
      <c r="Q16" s="7"/>
      <c r="R16" s="7"/>
      <c r="S16" s="7"/>
      <c r="T16" s="7"/>
    </row>
    <row r="17" spans="2:20" x14ac:dyDescent="0.3">
      <c r="B17" s="1" t="s">
        <v>18</v>
      </c>
      <c r="C17" s="72" t="s">
        <v>296</v>
      </c>
      <c r="D17" s="72" t="s">
        <v>311</v>
      </c>
      <c r="E17" s="4">
        <v>45389</v>
      </c>
      <c r="F17" s="72">
        <f t="shared" si="0"/>
        <v>2024</v>
      </c>
      <c r="G17" s="72">
        <f t="shared" si="1"/>
        <v>4</v>
      </c>
      <c r="H17" s="72">
        <f t="shared" si="2"/>
        <v>7</v>
      </c>
      <c r="I17" s="73">
        <f t="shared" si="3"/>
        <v>45389</v>
      </c>
      <c r="J17" s="73">
        <f t="shared" si="4"/>
        <v>45404</v>
      </c>
      <c r="K17" s="73">
        <f t="shared" si="5"/>
        <v>45434</v>
      </c>
      <c r="L17" s="1"/>
      <c r="M17" s="77" t="str">
        <f t="shared" si="6"/>
        <v xml:space="preserve"> </v>
      </c>
      <c r="O17" s="7"/>
      <c r="P17" s="7"/>
      <c r="Q17" s="7"/>
      <c r="R17" s="7"/>
      <c r="S17" s="7"/>
      <c r="T17" s="7"/>
    </row>
    <row r="18" spans="2:20" x14ac:dyDescent="0.3">
      <c r="B18" s="1" t="s">
        <v>27</v>
      </c>
      <c r="C18" s="72" t="s">
        <v>297</v>
      </c>
      <c r="D18" s="72" t="s">
        <v>312</v>
      </c>
      <c r="E18" s="4">
        <v>45762</v>
      </c>
      <c r="F18" s="72">
        <f t="shared" si="0"/>
        <v>2025</v>
      </c>
      <c r="G18" s="72">
        <f t="shared" si="1"/>
        <v>4</v>
      </c>
      <c r="H18" s="72">
        <f t="shared" si="2"/>
        <v>15</v>
      </c>
      <c r="I18" s="73">
        <f t="shared" si="3"/>
        <v>45762</v>
      </c>
      <c r="J18" s="73">
        <f t="shared" si="4"/>
        <v>45777</v>
      </c>
      <c r="K18" s="73">
        <f t="shared" si="5"/>
        <v>45807</v>
      </c>
      <c r="L18" s="1"/>
      <c r="M18" s="77" t="str">
        <f t="shared" si="6"/>
        <v xml:space="preserve"> </v>
      </c>
      <c r="O18" s="7"/>
      <c r="P18" s="7"/>
      <c r="Q18" s="7"/>
      <c r="R18" s="7"/>
      <c r="S18" s="7"/>
      <c r="T18" s="7"/>
    </row>
    <row r="19" spans="2:20" x14ac:dyDescent="0.3">
      <c r="B19" s="1" t="s">
        <v>12</v>
      </c>
      <c r="C19" s="72" t="s">
        <v>298</v>
      </c>
      <c r="D19" s="72" t="s">
        <v>313</v>
      </c>
      <c r="E19" s="4">
        <v>45779</v>
      </c>
      <c r="F19" s="72">
        <f t="shared" si="0"/>
        <v>2025</v>
      </c>
      <c r="G19" s="72">
        <f t="shared" si="1"/>
        <v>5</v>
      </c>
      <c r="H19" s="72">
        <f t="shared" si="2"/>
        <v>2</v>
      </c>
      <c r="I19" s="73">
        <f t="shared" si="3"/>
        <v>45779</v>
      </c>
      <c r="J19" s="73">
        <f t="shared" si="4"/>
        <v>45794</v>
      </c>
      <c r="K19" s="73">
        <f t="shared" si="5"/>
        <v>45825</v>
      </c>
      <c r="L19" s="1"/>
      <c r="M19" s="77" t="str">
        <f t="shared" si="6"/>
        <v xml:space="preserve"> </v>
      </c>
      <c r="O19" s="7"/>
      <c r="P19" s="7"/>
      <c r="Q19" s="7"/>
      <c r="R19" s="7"/>
      <c r="S19" s="7"/>
      <c r="T19" s="7"/>
    </row>
    <row r="20" spans="2:20" x14ac:dyDescent="0.3">
      <c r="B20" s="1" t="s">
        <v>19</v>
      </c>
      <c r="C20" s="72" t="s">
        <v>299</v>
      </c>
      <c r="D20" s="72" t="s">
        <v>314</v>
      </c>
      <c r="E20" s="4">
        <v>45066</v>
      </c>
      <c r="F20" s="72">
        <f t="shared" si="0"/>
        <v>2023</v>
      </c>
      <c r="G20" s="72">
        <f t="shared" si="1"/>
        <v>5</v>
      </c>
      <c r="H20" s="72">
        <f t="shared" si="2"/>
        <v>20</v>
      </c>
      <c r="I20" s="73">
        <f t="shared" si="3"/>
        <v>45066</v>
      </c>
      <c r="J20" s="73">
        <f t="shared" si="4"/>
        <v>45081</v>
      </c>
      <c r="K20" s="73">
        <f t="shared" si="5"/>
        <v>45111</v>
      </c>
      <c r="L20" s="4">
        <v>45533</v>
      </c>
      <c r="M20" s="77">
        <f t="shared" si="6"/>
        <v>467</v>
      </c>
      <c r="O20" s="7"/>
      <c r="P20" s="7"/>
      <c r="Q20" s="7"/>
      <c r="R20" s="7"/>
      <c r="S20" s="7"/>
      <c r="T20" s="7"/>
    </row>
    <row r="21" spans="2:20" x14ac:dyDescent="0.3">
      <c r="B21" s="1" t="s">
        <v>10</v>
      </c>
      <c r="C21" s="72" t="s">
        <v>300</v>
      </c>
      <c r="D21" s="72" t="s">
        <v>315</v>
      </c>
      <c r="E21" s="4">
        <v>45811</v>
      </c>
      <c r="F21" s="72">
        <f t="shared" si="0"/>
        <v>2025</v>
      </c>
      <c r="G21" s="72">
        <f t="shared" si="1"/>
        <v>6</v>
      </c>
      <c r="H21" s="72">
        <f t="shared" si="2"/>
        <v>3</v>
      </c>
      <c r="I21" s="73">
        <f t="shared" si="3"/>
        <v>45811</v>
      </c>
      <c r="J21" s="73">
        <f t="shared" si="4"/>
        <v>45826</v>
      </c>
      <c r="K21" s="73">
        <f t="shared" si="5"/>
        <v>45856</v>
      </c>
      <c r="L21" s="1"/>
      <c r="M21" s="77" t="str">
        <f t="shared" si="6"/>
        <v xml:space="preserve"> </v>
      </c>
      <c r="O21" s="7"/>
      <c r="P21" s="7"/>
      <c r="Q21" s="7"/>
      <c r="R21" s="7"/>
      <c r="S21" s="7"/>
      <c r="T21" s="7"/>
    </row>
    <row r="22" spans="2:20" x14ac:dyDescent="0.3">
      <c r="B22" s="1" t="s">
        <v>21</v>
      </c>
      <c r="C22" s="72" t="s">
        <v>301</v>
      </c>
      <c r="D22" s="72" t="s">
        <v>316</v>
      </c>
      <c r="E22" s="4">
        <v>45826</v>
      </c>
      <c r="F22" s="72">
        <f t="shared" si="0"/>
        <v>2025</v>
      </c>
      <c r="G22" s="72">
        <f t="shared" si="1"/>
        <v>6</v>
      </c>
      <c r="H22" s="72">
        <f t="shared" si="2"/>
        <v>18</v>
      </c>
      <c r="I22" s="73">
        <f t="shared" si="3"/>
        <v>45826</v>
      </c>
      <c r="J22" s="73">
        <f t="shared" si="4"/>
        <v>45841</v>
      </c>
      <c r="K22" s="73">
        <f t="shared" si="5"/>
        <v>45872</v>
      </c>
      <c r="L22" s="1"/>
      <c r="M22" s="77" t="str">
        <f t="shared" si="6"/>
        <v xml:space="preserve"> </v>
      </c>
      <c r="O22" s="7"/>
      <c r="P22" s="7"/>
      <c r="Q22" s="7"/>
      <c r="R22" s="7"/>
      <c r="S22" s="7"/>
      <c r="T22" s="7"/>
    </row>
    <row r="23" spans="2:20" x14ac:dyDescent="0.3">
      <c r="B23" s="1" t="s">
        <v>20</v>
      </c>
      <c r="C23" s="72" t="s">
        <v>302</v>
      </c>
      <c r="D23" s="72" t="s">
        <v>317</v>
      </c>
      <c r="E23" s="4">
        <v>45330</v>
      </c>
      <c r="F23" s="72">
        <f t="shared" si="0"/>
        <v>2024</v>
      </c>
      <c r="G23" s="72">
        <f t="shared" si="1"/>
        <v>2</v>
      </c>
      <c r="H23" s="72">
        <f t="shared" si="2"/>
        <v>8</v>
      </c>
      <c r="I23" s="73">
        <f t="shared" si="3"/>
        <v>45330</v>
      </c>
      <c r="J23" s="73">
        <f t="shared" si="4"/>
        <v>45345</v>
      </c>
      <c r="K23" s="73">
        <f t="shared" si="5"/>
        <v>45374</v>
      </c>
      <c r="L23" s="4">
        <v>45598</v>
      </c>
      <c r="M23" s="77">
        <f t="shared" si="6"/>
        <v>268</v>
      </c>
      <c r="O23" s="7"/>
      <c r="P23" s="7"/>
      <c r="Q23" s="7"/>
      <c r="R23" s="7"/>
      <c r="S23" s="7"/>
      <c r="T23" s="7"/>
    </row>
    <row r="24" spans="2:20" x14ac:dyDescent="0.3">
      <c r="B24" s="1" t="s">
        <v>22</v>
      </c>
      <c r="C24" s="72" t="s">
        <v>303</v>
      </c>
      <c r="D24" s="72" t="s">
        <v>318</v>
      </c>
      <c r="E24" s="4">
        <v>45492</v>
      </c>
      <c r="F24" s="72">
        <f t="shared" si="0"/>
        <v>2024</v>
      </c>
      <c r="G24" s="72">
        <f t="shared" si="1"/>
        <v>7</v>
      </c>
      <c r="H24" s="72">
        <f t="shared" si="2"/>
        <v>19</v>
      </c>
      <c r="I24" s="73">
        <f t="shared" si="3"/>
        <v>45492</v>
      </c>
      <c r="J24" s="73">
        <f t="shared" si="4"/>
        <v>45507</v>
      </c>
      <c r="K24" s="73">
        <f t="shared" si="5"/>
        <v>45538</v>
      </c>
      <c r="L24" s="1"/>
      <c r="M24" s="77" t="str">
        <f t="shared" si="6"/>
        <v xml:space="preserve"> </v>
      </c>
      <c r="O24" s="7"/>
      <c r="P24" s="7"/>
      <c r="Q24" s="7"/>
      <c r="R24" s="7"/>
      <c r="S24" s="7"/>
      <c r="T24" s="7"/>
    </row>
    <row r="25" spans="2:20" x14ac:dyDescent="0.3">
      <c r="B25" s="1" t="s">
        <v>9</v>
      </c>
      <c r="C25" s="72" t="s">
        <v>304</v>
      </c>
      <c r="D25" s="72" t="s">
        <v>319</v>
      </c>
      <c r="E25" s="4">
        <v>45874</v>
      </c>
      <c r="F25" s="72">
        <f t="shared" si="0"/>
        <v>2025</v>
      </c>
      <c r="G25" s="72">
        <f t="shared" si="1"/>
        <v>8</v>
      </c>
      <c r="H25" s="72">
        <f t="shared" si="2"/>
        <v>5</v>
      </c>
      <c r="I25" s="73">
        <f t="shared" si="3"/>
        <v>45874</v>
      </c>
      <c r="J25" s="73">
        <f t="shared" si="4"/>
        <v>45889</v>
      </c>
      <c r="K25" s="73">
        <f t="shared" si="5"/>
        <v>45920</v>
      </c>
      <c r="L25" s="1"/>
      <c r="M25" s="77" t="str">
        <f t="shared" si="6"/>
        <v xml:space="preserve"> </v>
      </c>
      <c r="O25" s="7"/>
      <c r="P25" s="7"/>
      <c r="Q25" s="7"/>
      <c r="R25" s="7"/>
      <c r="S25" s="7"/>
      <c r="T25" s="7"/>
    </row>
  </sheetData>
  <mergeCells count="2">
    <mergeCell ref="P2:S7"/>
    <mergeCell ref="B4:F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B4863-80F1-40A3-A02F-681C6CAF47FF}">
  <sheetPr>
    <tabColor rgb="FF68D290"/>
  </sheetPr>
  <dimension ref="B1:T25"/>
  <sheetViews>
    <sheetView showGridLines="0" zoomScale="90" zoomScaleNormal="90" workbookViewId="0"/>
  </sheetViews>
  <sheetFormatPr defaultRowHeight="14.4" x14ac:dyDescent="0.3"/>
  <cols>
    <col min="1" max="1" width="6.77734375" customWidth="1"/>
    <col min="2" max="2" width="11.5546875" customWidth="1"/>
    <col min="3" max="3" width="17.33203125" customWidth="1"/>
    <col min="4" max="4" width="18.109375" customWidth="1"/>
    <col min="5" max="5" width="19.109375" bestFit="1" customWidth="1"/>
    <col min="6" max="7" width="14.5546875" customWidth="1"/>
    <col min="8" max="8" width="10.44140625" customWidth="1"/>
    <col min="9" max="9" width="9.6640625" customWidth="1"/>
    <col min="11" max="11" width="10" customWidth="1"/>
    <col min="12" max="12" width="11.33203125" customWidth="1"/>
    <col min="14" max="14" width="10.44140625" customWidth="1"/>
  </cols>
  <sheetData>
    <row r="1" spans="2:20" ht="26.4" customHeight="1" thickBot="1" x14ac:dyDescent="0.35">
      <c r="B1" s="66" t="s">
        <v>325</v>
      </c>
      <c r="C1" s="66"/>
      <c r="D1" s="66"/>
      <c r="E1" s="66"/>
      <c r="F1" s="66"/>
      <c r="G1" s="66"/>
      <c r="H1" s="66"/>
      <c r="I1" s="66"/>
      <c r="J1" s="66"/>
      <c r="K1" s="66"/>
      <c r="L1" s="66"/>
      <c r="M1" s="66"/>
      <c r="N1" s="66"/>
      <c r="O1" s="66"/>
      <c r="P1" s="66"/>
      <c r="Q1" s="66"/>
      <c r="R1" s="66"/>
      <c r="S1" s="66"/>
      <c r="T1" s="68"/>
    </row>
    <row r="2" spans="2:20" ht="21" customHeight="1" thickTop="1" x14ac:dyDescent="0.3">
      <c r="B2" s="88" t="s">
        <v>345</v>
      </c>
      <c r="C2" s="89"/>
      <c r="D2" s="89"/>
      <c r="E2" s="89"/>
      <c r="F2" s="89"/>
      <c r="G2" s="89"/>
      <c r="H2" s="89"/>
      <c r="I2" s="89"/>
      <c r="J2" s="89"/>
      <c r="K2" s="89"/>
      <c r="L2" s="86" t="s">
        <v>364</v>
      </c>
      <c r="M2" s="84"/>
      <c r="N2" s="84"/>
      <c r="O2" s="84"/>
      <c r="P2" s="84"/>
      <c r="Q2" s="84"/>
      <c r="R2" s="84"/>
      <c r="S2" s="84"/>
      <c r="T2" s="85"/>
    </row>
    <row r="3" spans="2:20" ht="15.6" x14ac:dyDescent="0.3">
      <c r="B3" s="88" t="s">
        <v>346</v>
      </c>
      <c r="C3" s="89"/>
      <c r="D3" s="89"/>
      <c r="E3" s="89"/>
      <c r="F3" s="89"/>
      <c r="G3" s="89"/>
      <c r="H3" s="89"/>
      <c r="I3" s="89"/>
      <c r="J3" s="89"/>
      <c r="K3" s="89"/>
      <c r="L3" s="9" t="s">
        <v>366</v>
      </c>
      <c r="M3" s="28"/>
      <c r="N3" s="28"/>
      <c r="O3" s="28"/>
      <c r="P3" s="28"/>
      <c r="Q3" s="28"/>
      <c r="R3" s="28"/>
      <c r="S3" s="28"/>
      <c r="T3" s="8"/>
    </row>
    <row r="4" spans="2:20" x14ac:dyDescent="0.3">
      <c r="B4" s="89" t="s">
        <v>429</v>
      </c>
      <c r="C4" s="89"/>
      <c r="D4" s="89"/>
      <c r="E4" s="89"/>
      <c r="F4" s="89"/>
      <c r="G4" s="89"/>
      <c r="H4" s="89"/>
      <c r="I4" s="89"/>
      <c r="J4" s="89"/>
      <c r="K4" s="89"/>
      <c r="L4" s="9" t="s">
        <v>378</v>
      </c>
      <c r="M4" s="28"/>
      <c r="N4" s="28"/>
      <c r="O4" s="28"/>
      <c r="P4" s="28"/>
      <c r="Q4" s="28"/>
      <c r="R4" s="28"/>
      <c r="S4" s="28"/>
      <c r="T4" s="8"/>
    </row>
    <row r="5" spans="2:20" x14ac:dyDescent="0.3">
      <c r="B5" s="89" t="s">
        <v>371</v>
      </c>
      <c r="C5" s="89"/>
      <c r="D5" s="89"/>
      <c r="E5" s="89"/>
      <c r="F5" s="89"/>
      <c r="G5" s="89"/>
      <c r="H5" s="89"/>
      <c r="I5" s="89"/>
      <c r="J5" s="89"/>
      <c r="K5" s="89"/>
      <c r="L5" s="9" t="s">
        <v>379</v>
      </c>
      <c r="M5" s="28"/>
      <c r="N5" s="28"/>
      <c r="O5" s="28"/>
      <c r="P5" s="28"/>
      <c r="Q5" s="28"/>
      <c r="R5" s="28"/>
      <c r="S5" s="28"/>
      <c r="T5" s="8"/>
    </row>
    <row r="6" spans="2:20" x14ac:dyDescent="0.3">
      <c r="B6" s="89" t="s">
        <v>430</v>
      </c>
      <c r="C6" s="89"/>
      <c r="D6" s="89"/>
      <c r="E6" s="89"/>
      <c r="F6" s="89"/>
      <c r="G6" s="89"/>
      <c r="H6" s="89"/>
      <c r="I6" s="89"/>
      <c r="J6" s="89"/>
      <c r="K6" s="89"/>
      <c r="L6" s="20" t="s">
        <v>362</v>
      </c>
      <c r="M6" s="27"/>
      <c r="N6" s="27"/>
      <c r="O6" s="27"/>
      <c r="P6" s="27"/>
      <c r="Q6" s="27"/>
      <c r="R6" s="27"/>
      <c r="S6" s="27"/>
      <c r="T6" s="18"/>
    </row>
    <row r="7" spans="2:20" ht="15" thickBot="1" x14ac:dyDescent="0.35">
      <c r="K7" s="89"/>
      <c r="L7" s="89"/>
      <c r="M7" s="89"/>
      <c r="N7" s="89"/>
      <c r="O7" s="89"/>
      <c r="P7" s="89"/>
      <c r="Q7" s="89"/>
      <c r="R7" s="89"/>
      <c r="S7" s="89"/>
      <c r="T7" s="89"/>
    </row>
    <row r="8" spans="2:20" ht="30" thickTop="1" thickBot="1" x14ac:dyDescent="0.35">
      <c r="B8" s="81" t="s">
        <v>347</v>
      </c>
      <c r="C8" s="81" t="s">
        <v>331</v>
      </c>
      <c r="D8" s="81" t="s">
        <v>377</v>
      </c>
      <c r="E8" s="81" t="s">
        <v>51</v>
      </c>
      <c r="F8" s="81" t="s">
        <v>52</v>
      </c>
      <c r="G8" s="81" t="s">
        <v>359</v>
      </c>
      <c r="H8" s="81" t="s">
        <v>361</v>
      </c>
      <c r="I8" s="81" t="s">
        <v>348</v>
      </c>
      <c r="K8" s="89"/>
      <c r="L8" s="87" t="s">
        <v>376</v>
      </c>
      <c r="M8" s="82"/>
      <c r="N8" s="82"/>
      <c r="O8" s="82"/>
      <c r="P8" s="82"/>
      <c r="Q8" s="82"/>
      <c r="R8" s="82"/>
      <c r="S8" s="82"/>
      <c r="T8" s="83"/>
    </row>
    <row r="9" spans="2:20" ht="15" customHeight="1" thickTop="1" x14ac:dyDescent="0.3">
      <c r="B9" s="8"/>
      <c r="C9" s="1" t="s">
        <v>367</v>
      </c>
      <c r="D9" s="72" t="str">
        <f>+TRIM(PROPER(Table6[[#This Row],[Ime i prezime]]))</f>
        <v>Milica Nikolić</v>
      </c>
      <c r="E9" s="1" t="s">
        <v>82</v>
      </c>
      <c r="F9" s="1">
        <v>45669</v>
      </c>
      <c r="G9" s="1"/>
      <c r="H9" s="79">
        <f>75/100</f>
        <v>0.75</v>
      </c>
      <c r="I9" s="1">
        <v>150000</v>
      </c>
      <c r="K9" s="89"/>
      <c r="L9" s="200" t="s">
        <v>380</v>
      </c>
      <c r="M9" s="201"/>
      <c r="N9" s="201"/>
      <c r="O9" s="201"/>
      <c r="P9" s="201"/>
      <c r="Q9" s="201"/>
      <c r="R9" s="201"/>
      <c r="S9" s="201"/>
      <c r="T9" s="202"/>
    </row>
    <row r="10" spans="2:20" ht="14.4" customHeight="1" x14ac:dyDescent="0.3">
      <c r="B10" s="8"/>
      <c r="C10" s="1" t="s">
        <v>368</v>
      </c>
      <c r="D10" s="72" t="str">
        <f>+TRIM(PROPER(Table6[[#This Row],[Ime i prezime]]))</f>
        <v>Marko Ilić</v>
      </c>
      <c r="E10" s="1" t="s">
        <v>55</v>
      </c>
      <c r="F10" s="1">
        <v>45682</v>
      </c>
      <c r="G10" s="1"/>
      <c r="H10" s="79">
        <f>82/100</f>
        <v>0.82</v>
      </c>
      <c r="I10" s="1">
        <v>135000</v>
      </c>
      <c r="K10" s="89"/>
      <c r="L10" s="203"/>
      <c r="M10" s="204"/>
      <c r="N10" s="204"/>
      <c r="O10" s="204"/>
      <c r="P10" s="204"/>
      <c r="Q10" s="204"/>
      <c r="R10" s="204"/>
      <c r="S10" s="204"/>
      <c r="T10" s="205"/>
    </row>
    <row r="11" spans="2:20" ht="14.4" customHeight="1" x14ac:dyDescent="0.3">
      <c r="B11" s="8"/>
      <c r="C11" s="1" t="s">
        <v>28</v>
      </c>
      <c r="D11" s="72" t="str">
        <f>+TRIM(PROPER(Table6[[#This Row],[Ime i prezime]]))</f>
        <v>Tamara Popović</v>
      </c>
      <c r="E11" s="1" t="s">
        <v>58</v>
      </c>
      <c r="F11" s="1">
        <v>45698</v>
      </c>
      <c r="G11" s="1"/>
      <c r="H11" s="79">
        <f>68/100</f>
        <v>0.68</v>
      </c>
      <c r="I11" s="1">
        <v>110250</v>
      </c>
      <c r="K11" s="89"/>
      <c r="L11" s="90"/>
      <c r="M11" s="90"/>
      <c r="N11" s="90"/>
      <c r="O11" s="90"/>
      <c r="P11" s="90"/>
      <c r="Q11" s="90"/>
      <c r="R11" s="90"/>
      <c r="S11" s="90"/>
      <c r="T11" s="90"/>
    </row>
    <row r="12" spans="2:20" ht="14.4" customHeight="1" x14ac:dyDescent="0.3">
      <c r="B12" s="8"/>
      <c r="C12" s="1" t="s">
        <v>369</v>
      </c>
      <c r="D12" s="72" t="str">
        <f>+TRIM(PROPER(Table6[[#This Row],[Ime i prezime]]))</f>
        <v>Nikola Jovanović</v>
      </c>
      <c r="E12" s="1" t="s">
        <v>349</v>
      </c>
      <c r="F12" s="1">
        <v>45706</v>
      </c>
      <c r="G12" s="1"/>
      <c r="H12" s="79">
        <f>95/100</f>
        <v>0.95</v>
      </c>
      <c r="I12" s="1">
        <v>120500</v>
      </c>
      <c r="K12" s="89"/>
      <c r="L12" s="86" t="s">
        <v>365</v>
      </c>
      <c r="M12" s="84"/>
      <c r="N12" s="84"/>
      <c r="O12" s="84"/>
      <c r="P12" s="84"/>
      <c r="Q12" s="84"/>
      <c r="R12" s="84"/>
      <c r="S12" s="84"/>
      <c r="T12" s="85"/>
    </row>
    <row r="13" spans="2:20" ht="14.4" customHeight="1" x14ac:dyDescent="0.3">
      <c r="B13" s="8"/>
      <c r="C13" s="1" t="s">
        <v>14</v>
      </c>
      <c r="D13" s="72" t="str">
        <f>+TRIM(PROPER(Table6[[#This Row],[Ime i prezime]]))</f>
        <v>Ana Kovačević</v>
      </c>
      <c r="E13" s="1" t="s">
        <v>350</v>
      </c>
      <c r="F13" s="1">
        <v>45721</v>
      </c>
      <c r="G13" s="1"/>
      <c r="H13" s="79">
        <f>77/100</f>
        <v>0.77</v>
      </c>
      <c r="I13" s="1">
        <v>140300</v>
      </c>
      <c r="K13" s="89"/>
      <c r="L13" s="200" t="s">
        <v>381</v>
      </c>
      <c r="M13" s="201"/>
      <c r="N13" s="201"/>
      <c r="O13" s="201"/>
      <c r="P13" s="201"/>
      <c r="Q13" s="201"/>
      <c r="R13" s="201"/>
      <c r="S13" s="201"/>
      <c r="T13" s="202"/>
    </row>
    <row r="14" spans="2:20" x14ac:dyDescent="0.3">
      <c r="B14" s="8"/>
      <c r="C14" s="1" t="s">
        <v>25</v>
      </c>
      <c r="D14" s="72" t="str">
        <f>+TRIM(PROPER(Table6[[#This Row],[Ime i prezime]]))</f>
        <v>Đorđe Stefanović</v>
      </c>
      <c r="E14" s="1" t="s">
        <v>351</v>
      </c>
      <c r="F14" s="1">
        <v>45738</v>
      </c>
      <c r="G14" s="1"/>
      <c r="H14" s="79">
        <f>84/100</f>
        <v>0.84</v>
      </c>
      <c r="I14" s="1">
        <v>115750</v>
      </c>
      <c r="K14" s="89"/>
      <c r="L14" s="214"/>
      <c r="M14" s="215"/>
      <c r="N14" s="215"/>
      <c r="O14" s="215"/>
      <c r="P14" s="215"/>
      <c r="Q14" s="215"/>
      <c r="R14" s="215"/>
      <c r="S14" s="215"/>
      <c r="T14" s="216"/>
    </row>
    <row r="15" spans="2:20" x14ac:dyDescent="0.3">
      <c r="B15" s="8"/>
      <c r="C15" s="1" t="s">
        <v>375</v>
      </c>
      <c r="D15" s="72" t="str">
        <f>+TRIM(PROPER(Table6[[#This Row],[Ime i prezime]]))</f>
        <v>Teodora Lukić</v>
      </c>
      <c r="E15" s="1" t="s">
        <v>122</v>
      </c>
      <c r="F15" s="1">
        <v>45754</v>
      </c>
      <c r="G15" s="1"/>
      <c r="H15" s="79">
        <f>65/100</f>
        <v>0.65</v>
      </c>
      <c r="I15" s="1">
        <v>95200</v>
      </c>
      <c r="K15" s="89"/>
      <c r="L15" s="203"/>
      <c r="M15" s="204"/>
      <c r="N15" s="204"/>
      <c r="O15" s="204"/>
      <c r="P15" s="204"/>
      <c r="Q15" s="204"/>
      <c r="R15" s="204"/>
      <c r="S15" s="204"/>
      <c r="T15" s="205"/>
    </row>
    <row r="16" spans="2:20" ht="14.4" customHeight="1" x14ac:dyDescent="0.3">
      <c r="B16" s="8"/>
      <c r="C16" s="1" t="s">
        <v>27</v>
      </c>
      <c r="D16" s="72" t="str">
        <f>+TRIM(PROPER(Table6[[#This Row],[Ime i prezime]]))</f>
        <v>Filip Arsić</v>
      </c>
      <c r="E16" s="1" t="s">
        <v>352</v>
      </c>
      <c r="F16" s="1">
        <v>45762</v>
      </c>
      <c r="G16" s="1"/>
      <c r="H16" s="79">
        <f>91/100</f>
        <v>0.91</v>
      </c>
      <c r="I16" s="1">
        <v>160800</v>
      </c>
      <c r="K16" s="89"/>
      <c r="L16" s="206" t="s">
        <v>382</v>
      </c>
      <c r="M16" s="207"/>
      <c r="N16" s="207"/>
      <c r="O16" s="207"/>
      <c r="P16" s="207"/>
      <c r="Q16" s="207"/>
      <c r="R16" s="207"/>
      <c r="S16" s="207"/>
      <c r="T16" s="208"/>
    </row>
    <row r="17" spans="2:20" x14ac:dyDescent="0.3">
      <c r="B17" s="8"/>
      <c r="C17" s="1" t="s">
        <v>12</v>
      </c>
      <c r="D17" s="72" t="str">
        <f>+TRIM(PROPER(Table6[[#This Row],[Ime i prezime]]))</f>
        <v>Ivana Stojanov</v>
      </c>
      <c r="E17" s="1" t="s">
        <v>353</v>
      </c>
      <c r="F17" s="1">
        <v>45779</v>
      </c>
      <c r="G17" s="1"/>
      <c r="H17" s="79">
        <f>72/100</f>
        <v>0.72</v>
      </c>
      <c r="I17" s="1">
        <v>145250</v>
      </c>
      <c r="K17" s="89"/>
      <c r="L17" s="209"/>
      <c r="M17" s="163"/>
      <c r="N17" s="163"/>
      <c r="O17" s="163"/>
      <c r="P17" s="163"/>
      <c r="Q17" s="163"/>
      <c r="R17" s="163"/>
      <c r="S17" s="163"/>
      <c r="T17" s="210"/>
    </row>
    <row r="18" spans="2:20" x14ac:dyDescent="0.3">
      <c r="B18" s="8"/>
      <c r="C18" s="1" t="s">
        <v>370</v>
      </c>
      <c r="D18" s="72" t="str">
        <f>+TRIM(PROPER(Table6[[#This Row],[Ime i prezime]]))</f>
        <v>Nemanja Ristić</v>
      </c>
      <c r="E18" s="1" t="s">
        <v>124</v>
      </c>
      <c r="F18" s="1">
        <v>45797</v>
      </c>
      <c r="G18" s="1"/>
      <c r="H18" s="79">
        <f>88/100</f>
        <v>0.88</v>
      </c>
      <c r="I18" s="1">
        <v>130600</v>
      </c>
      <c r="K18" s="89"/>
      <c r="L18" s="211"/>
      <c r="M18" s="212"/>
      <c r="N18" s="212"/>
      <c r="O18" s="212"/>
      <c r="P18" s="212"/>
      <c r="Q18" s="212"/>
      <c r="R18" s="212"/>
      <c r="S18" s="212"/>
      <c r="T18" s="213"/>
    </row>
    <row r="19" spans="2:20" x14ac:dyDescent="0.3">
      <c r="B19" s="8"/>
      <c r="C19" s="1" t="s">
        <v>374</v>
      </c>
      <c r="D19" s="72" t="str">
        <f>+TRIM(PROPER(Table6[[#This Row],[Ime i prezime]]))</f>
        <v>Jelena Marković</v>
      </c>
      <c r="E19" s="1" t="s">
        <v>354</v>
      </c>
      <c r="F19" s="1">
        <v>45811</v>
      </c>
      <c r="G19" s="1"/>
      <c r="H19" s="79">
        <f>79/100</f>
        <v>0.79</v>
      </c>
      <c r="I19" s="1">
        <v>105450</v>
      </c>
      <c r="K19" s="89"/>
      <c r="L19" s="89"/>
      <c r="M19" s="89"/>
      <c r="N19" s="89"/>
      <c r="O19" s="89"/>
      <c r="P19" s="89"/>
      <c r="Q19" s="89"/>
      <c r="R19" s="89"/>
      <c r="S19" s="89"/>
      <c r="T19" s="89"/>
    </row>
    <row r="20" spans="2:20" x14ac:dyDescent="0.3">
      <c r="B20" s="8"/>
      <c r="C20" s="1" t="s">
        <v>21</v>
      </c>
      <c r="D20" s="72" t="str">
        <f>+TRIM(PROPER(Table6[[#This Row],[Ime i prezime]]))</f>
        <v>Aleksandar Pavlović</v>
      </c>
      <c r="E20" s="1" t="s">
        <v>355</v>
      </c>
      <c r="F20" s="1">
        <v>45826</v>
      </c>
      <c r="G20" s="1"/>
      <c r="H20" s="79">
        <f>93/100</f>
        <v>0.93</v>
      </c>
      <c r="I20" s="1">
        <v>170900</v>
      </c>
      <c r="K20" s="89"/>
      <c r="L20" s="87" t="s">
        <v>363</v>
      </c>
      <c r="M20" s="82"/>
      <c r="N20" s="82"/>
      <c r="O20" s="82"/>
      <c r="P20" s="82"/>
      <c r="Q20" s="82"/>
      <c r="R20" s="82"/>
      <c r="S20" s="82"/>
      <c r="T20" s="83"/>
    </row>
    <row r="21" spans="2:20" ht="14.4" customHeight="1" x14ac:dyDescent="0.3">
      <c r="B21" s="8"/>
      <c r="C21" s="1" t="s">
        <v>372</v>
      </c>
      <c r="D21" s="72" t="str">
        <f>+TRIM(PROPER(Table6[[#This Row],[Ime i prezime]]))</f>
        <v>Sara Vuković</v>
      </c>
      <c r="E21" s="1" t="s">
        <v>356</v>
      </c>
      <c r="F21" s="1">
        <v>45839</v>
      </c>
      <c r="G21" s="1"/>
      <c r="H21" s="79">
        <f>81/100</f>
        <v>0.81</v>
      </c>
      <c r="I21" s="1">
        <v>100300</v>
      </c>
      <c r="K21" s="89"/>
      <c r="L21" s="200" t="s">
        <v>384</v>
      </c>
      <c r="M21" s="201"/>
      <c r="N21" s="201"/>
      <c r="O21" s="201"/>
      <c r="P21" s="201"/>
      <c r="Q21" s="201"/>
      <c r="R21" s="201"/>
      <c r="S21" s="201"/>
      <c r="T21" s="202"/>
    </row>
    <row r="22" spans="2:20" x14ac:dyDescent="0.3">
      <c r="B22" s="8"/>
      <c r="C22" s="1" t="s">
        <v>22</v>
      </c>
      <c r="D22" s="72" t="str">
        <f>+TRIM(PROPER(Table6[[#This Row],[Ime i prezime]]))</f>
        <v>Katarina Milenković</v>
      </c>
      <c r="E22" s="1" t="s">
        <v>357</v>
      </c>
      <c r="F22" s="1">
        <v>45857</v>
      </c>
      <c r="G22" s="1"/>
      <c r="H22" s="79">
        <f>76/100</f>
        <v>0.76</v>
      </c>
      <c r="I22" s="1">
        <v>150700</v>
      </c>
      <c r="K22" s="89"/>
      <c r="L22" s="203"/>
      <c r="M22" s="204"/>
      <c r="N22" s="204"/>
      <c r="O22" s="204"/>
      <c r="P22" s="204"/>
      <c r="Q22" s="204"/>
      <c r="R22" s="204"/>
      <c r="S22" s="204"/>
      <c r="T22" s="205"/>
    </row>
    <row r="23" spans="2:20" x14ac:dyDescent="0.3">
      <c r="B23" s="10"/>
      <c r="C23" s="21" t="s">
        <v>373</v>
      </c>
      <c r="D23" s="72" t="str">
        <f>+TRIM(PROPER(Table6[[#This Row],[Ime i prezime]]))</f>
        <v>Milan Petrović</v>
      </c>
      <c r="E23" s="21" t="s">
        <v>358</v>
      </c>
      <c r="F23" s="21">
        <v>45874</v>
      </c>
      <c r="G23" s="21"/>
      <c r="H23" s="80">
        <v>0.9</v>
      </c>
      <c r="I23" s="21">
        <v>165500</v>
      </c>
      <c r="K23" s="89"/>
      <c r="L23" s="90"/>
      <c r="M23" s="90"/>
      <c r="N23" s="90"/>
      <c r="O23" s="90"/>
      <c r="P23" s="90"/>
      <c r="Q23" s="90"/>
      <c r="R23" s="90"/>
      <c r="S23" s="90"/>
      <c r="T23" s="90"/>
    </row>
    <row r="24" spans="2:20" ht="14.4" customHeight="1" x14ac:dyDescent="0.3">
      <c r="K24" s="89"/>
      <c r="L24" s="1" t="s">
        <v>360</v>
      </c>
      <c r="M24" s="89"/>
      <c r="N24" s="89"/>
      <c r="O24" s="89"/>
      <c r="P24" s="89"/>
      <c r="Q24" s="89"/>
      <c r="R24" s="89"/>
      <c r="S24" s="89"/>
      <c r="T24" s="89"/>
    </row>
    <row r="25" spans="2:20" x14ac:dyDescent="0.3">
      <c r="B25" s="89"/>
      <c r="C25" s="89"/>
      <c r="D25" s="89"/>
      <c r="E25" s="89"/>
      <c r="F25" s="89"/>
      <c r="G25" s="89"/>
      <c r="H25" s="89"/>
      <c r="I25" s="89"/>
      <c r="J25" s="89"/>
      <c r="K25" s="89"/>
      <c r="L25" s="1" t="s">
        <v>383</v>
      </c>
      <c r="M25" s="89"/>
      <c r="N25" s="89"/>
      <c r="O25" s="89"/>
      <c r="P25" s="89"/>
      <c r="Q25" s="89"/>
      <c r="R25" s="89"/>
      <c r="S25" s="89"/>
      <c r="T25" s="89"/>
    </row>
  </sheetData>
  <mergeCells count="4">
    <mergeCell ref="L21:T22"/>
    <mergeCell ref="L9:T10"/>
    <mergeCell ref="L16:T18"/>
    <mergeCell ref="L13:T15"/>
  </mergeCells>
  <phoneticPr fontId="24" type="noConversion"/>
  <conditionalFormatting sqref="B9:I23">
    <cfRule type="expression" dxfId="4" priority="1">
      <formula>$H9&gt;=90%</formula>
    </cfRule>
  </conditionalFormatting>
  <conditionalFormatting sqref="H9:H23">
    <cfRule type="cellIs" dxfId="3" priority="2" operator="lessThan">
      <formula>0.8</formula>
    </cfRule>
  </conditionalFormatting>
  <dataValidations count="1">
    <dataValidation type="list" allowBlank="1" showInputMessage="1" showErrorMessage="1" sqref="G9:G23" xr:uid="{C0CAF1AD-4FDC-4B13-96BB-13BC714EF335}">
      <formula1>$L$24:$L$25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E83DA-4E7F-42EC-855D-5EB3DB2966E7}">
  <sheetPr>
    <tabColor rgb="FF68D290"/>
  </sheetPr>
  <dimension ref="B1:V55"/>
  <sheetViews>
    <sheetView showGridLines="0" zoomScale="90" zoomScaleNormal="90" workbookViewId="0"/>
  </sheetViews>
  <sheetFormatPr defaultRowHeight="14.4" x14ac:dyDescent="0.3"/>
  <cols>
    <col min="2" max="2" width="14.6640625" bestFit="1" customWidth="1"/>
    <col min="3" max="3" width="19.5546875" bestFit="1" customWidth="1"/>
    <col min="4" max="4" width="14.77734375" bestFit="1" customWidth="1"/>
    <col min="5" max="5" width="12.21875" customWidth="1"/>
    <col min="6" max="6" width="9.88671875" customWidth="1"/>
    <col min="7" max="7" width="10" bestFit="1" customWidth="1"/>
    <col min="8" max="8" width="11.33203125" customWidth="1"/>
    <col min="9" max="9" width="15" customWidth="1"/>
    <col min="10" max="10" width="10.77734375" customWidth="1"/>
    <col min="11" max="11" width="12.77734375" customWidth="1"/>
  </cols>
  <sheetData>
    <row r="1" spans="2:22" ht="27" customHeight="1" thickBot="1" x14ac:dyDescent="0.35">
      <c r="B1" s="66" t="s">
        <v>402</v>
      </c>
      <c r="C1" s="66"/>
      <c r="D1" s="66"/>
      <c r="E1" s="66"/>
      <c r="F1" s="66"/>
      <c r="G1" s="66"/>
      <c r="H1" s="66"/>
      <c r="I1" s="66"/>
      <c r="J1" s="66"/>
      <c r="K1" s="66"/>
      <c r="L1" s="66"/>
      <c r="M1" s="66"/>
      <c r="N1" s="66"/>
      <c r="O1" s="66"/>
      <c r="P1" s="66"/>
      <c r="Q1" s="66"/>
      <c r="R1" s="66"/>
      <c r="S1" s="66"/>
      <c r="T1" s="66"/>
    </row>
    <row r="2" spans="2:22" ht="15" thickTop="1" x14ac:dyDescent="0.3">
      <c r="B2" s="99" t="s">
        <v>404</v>
      </c>
      <c r="C2" s="99"/>
      <c r="D2" s="99"/>
      <c r="E2" s="99"/>
      <c r="F2" s="99"/>
      <c r="G2" s="99"/>
      <c r="H2" s="99"/>
      <c r="I2" s="99"/>
      <c r="J2" s="99"/>
      <c r="K2" s="99"/>
      <c r="L2" s="99"/>
      <c r="M2" s="99"/>
      <c r="N2" s="99"/>
      <c r="O2" s="99"/>
      <c r="P2" s="99"/>
      <c r="Q2" s="99"/>
      <c r="R2" s="99"/>
      <c r="S2" s="99"/>
      <c r="T2" s="99"/>
    </row>
    <row r="3" spans="2:22" x14ac:dyDescent="0.3">
      <c r="B3" s="100" t="s">
        <v>403</v>
      </c>
      <c r="C3" s="99"/>
      <c r="D3" s="99"/>
      <c r="E3" s="99"/>
      <c r="F3" s="99"/>
      <c r="G3" s="99"/>
      <c r="H3" s="99"/>
      <c r="I3" s="99"/>
      <c r="J3" s="99"/>
      <c r="K3" s="99"/>
      <c r="L3" s="99"/>
      <c r="M3" s="99"/>
      <c r="N3" s="99"/>
      <c r="O3" s="99"/>
      <c r="P3" s="99"/>
      <c r="Q3" s="99"/>
      <c r="R3" s="99"/>
      <c r="S3" s="99"/>
      <c r="T3" s="99"/>
    </row>
    <row r="4" spans="2:22" x14ac:dyDescent="0.3">
      <c r="B4" s="100"/>
      <c r="C4" s="99"/>
      <c r="D4" s="99"/>
      <c r="E4" s="99"/>
      <c r="F4" s="99"/>
      <c r="G4" s="99"/>
      <c r="H4" s="99"/>
      <c r="I4" s="99"/>
      <c r="J4" s="99"/>
      <c r="K4" s="99"/>
      <c r="L4" s="99"/>
      <c r="M4" s="99"/>
      <c r="N4" s="99"/>
      <c r="O4" s="99"/>
      <c r="P4" s="99"/>
      <c r="Q4" s="99"/>
      <c r="R4" s="99"/>
      <c r="S4" s="99"/>
      <c r="T4" s="99"/>
    </row>
    <row r="5" spans="2:22" x14ac:dyDescent="0.3">
      <c r="B5" s="100" t="s">
        <v>408</v>
      </c>
      <c r="C5" s="99"/>
      <c r="D5" s="99"/>
      <c r="E5" s="99"/>
      <c r="F5" s="99"/>
      <c r="G5" s="99"/>
      <c r="H5" s="99"/>
      <c r="I5" s="99"/>
      <c r="J5" s="99"/>
      <c r="K5" s="99"/>
      <c r="L5" s="99"/>
      <c r="M5" s="99"/>
      <c r="N5" s="99"/>
      <c r="O5" s="99"/>
      <c r="P5" s="99"/>
      <c r="Q5" s="99"/>
      <c r="R5" s="99"/>
      <c r="S5" s="99"/>
      <c r="T5" s="99"/>
    </row>
    <row r="6" spans="2:22" x14ac:dyDescent="0.3">
      <c r="B6" s="99" t="s">
        <v>415</v>
      </c>
      <c r="C6" s="101"/>
      <c r="D6" s="99"/>
      <c r="E6" s="99"/>
      <c r="F6" s="99"/>
      <c r="G6" s="99"/>
      <c r="H6" s="99"/>
      <c r="I6" s="99"/>
      <c r="J6" s="99"/>
      <c r="K6" s="99"/>
      <c r="L6" s="99"/>
      <c r="M6" s="99"/>
      <c r="N6" s="99"/>
      <c r="O6" s="99"/>
      <c r="P6" s="99"/>
      <c r="Q6" s="99"/>
      <c r="R6" s="99"/>
      <c r="S6" s="99"/>
      <c r="T6" s="99"/>
    </row>
    <row r="7" spans="2:22" x14ac:dyDescent="0.3">
      <c r="B7" s="99" t="s">
        <v>414</v>
      </c>
      <c r="C7" s="99"/>
      <c r="D7" s="99"/>
      <c r="E7" s="99"/>
      <c r="F7" s="99"/>
      <c r="G7" s="99"/>
      <c r="H7" s="99"/>
      <c r="I7" s="99"/>
      <c r="J7" s="99"/>
      <c r="K7" s="99"/>
      <c r="L7" s="99"/>
      <c r="M7" s="99"/>
      <c r="N7" s="99"/>
      <c r="O7" s="99"/>
      <c r="P7" s="99"/>
      <c r="Q7" s="99"/>
      <c r="R7" s="99"/>
      <c r="S7" s="99"/>
      <c r="T7" s="99"/>
    </row>
    <row r="8" spans="2:22" x14ac:dyDescent="0.3">
      <c r="B8" s="99"/>
      <c r="C8" s="99"/>
      <c r="D8" s="99"/>
      <c r="E8" s="99"/>
      <c r="F8" s="99"/>
      <c r="G8" s="99"/>
      <c r="H8" s="99"/>
      <c r="I8" s="99"/>
      <c r="J8" s="99"/>
      <c r="K8" s="99"/>
      <c r="L8" s="99"/>
      <c r="M8" s="99"/>
      <c r="N8" s="99"/>
      <c r="O8" s="99"/>
      <c r="P8" s="99"/>
      <c r="Q8" s="99"/>
      <c r="R8" s="99"/>
      <c r="S8" s="99"/>
      <c r="T8" s="99"/>
    </row>
    <row r="10" spans="2:22" ht="27.6" customHeight="1" thickBot="1" x14ac:dyDescent="0.4">
      <c r="B10" s="97" t="s">
        <v>331</v>
      </c>
      <c r="C10" s="97" t="s">
        <v>385</v>
      </c>
      <c r="D10" s="97" t="s">
        <v>386</v>
      </c>
      <c r="E10" s="97" t="s">
        <v>45</v>
      </c>
      <c r="F10" s="97" t="s">
        <v>410</v>
      </c>
      <c r="G10" s="97" t="s">
        <v>30</v>
      </c>
      <c r="H10" s="97" t="s">
        <v>411</v>
      </c>
      <c r="I10" s="97" t="s">
        <v>406</v>
      </c>
      <c r="J10" s="98" t="s">
        <v>407</v>
      </c>
      <c r="K10" s="97" t="s">
        <v>413</v>
      </c>
      <c r="M10" s="102" t="s">
        <v>405</v>
      </c>
      <c r="N10" s="103"/>
      <c r="O10" s="103"/>
      <c r="P10" s="103"/>
      <c r="Q10" s="103"/>
      <c r="R10" s="103"/>
      <c r="S10" s="103"/>
      <c r="T10" s="103"/>
    </row>
    <row r="11" spans="2:22" ht="14.4" customHeight="1" thickTop="1" thickBot="1" x14ac:dyDescent="0.35">
      <c r="B11" s="8" t="s">
        <v>16</v>
      </c>
      <c r="C11" s="1" t="s">
        <v>388</v>
      </c>
      <c r="D11" s="4">
        <v>45963</v>
      </c>
      <c r="E11" s="4" t="s">
        <v>46</v>
      </c>
      <c r="F11" s="95">
        <v>252300.5</v>
      </c>
      <c r="G11" s="1">
        <v>1</v>
      </c>
      <c r="H11" s="95">
        <f>+Table4[[#This Row],[Cena (RSD)]]*Table4[[#This Row],[Količina]]</f>
        <v>252300.5</v>
      </c>
      <c r="I11" s="94" t="str">
        <f>+IF(Table4[[#This Row],[Način plaćanja]]="Gotovina","5%","nema bonusa")</f>
        <v>nema bonusa</v>
      </c>
      <c r="J11" s="120" t="str">
        <f>+IF(AND(Table4[[#This Row],[Prihod (RSD)]]&gt;600000,Table4[[#This Row],[Količina]]&gt;=3),H11*0.2,"")</f>
        <v/>
      </c>
      <c r="K11" s="96" t="str">
        <f>+IF(OR(Table4[[#This Row],[Prihod (RSD)]]&gt;500000,Table4[[#This Row],[Količina]]&gt;=5),"Premium","")</f>
        <v/>
      </c>
      <c r="M11" s="217" t="s">
        <v>416</v>
      </c>
      <c r="N11" s="218"/>
      <c r="O11" s="218"/>
      <c r="P11" s="218"/>
      <c r="Q11" s="218"/>
      <c r="R11" s="218"/>
      <c r="S11" s="218"/>
      <c r="T11" s="218"/>
      <c r="U11" s="26"/>
      <c r="V11" s="26"/>
    </row>
    <row r="12" spans="2:22" ht="15.6" thickTop="1" thickBot="1" x14ac:dyDescent="0.35">
      <c r="B12" s="8" t="s">
        <v>16</v>
      </c>
      <c r="C12" s="1" t="s">
        <v>389</v>
      </c>
      <c r="D12" s="4">
        <v>45966</v>
      </c>
      <c r="E12" s="4" t="s">
        <v>47</v>
      </c>
      <c r="F12" s="95">
        <v>178450.75</v>
      </c>
      <c r="G12" s="1">
        <v>2</v>
      </c>
      <c r="H12" s="95">
        <f>+Table4[[#This Row],[Cena (RSD)]]*Table4[[#This Row],[Količina]]</f>
        <v>356901.5</v>
      </c>
      <c r="I12" s="94" t="str">
        <f>+IF(Table4[[#This Row],[Način plaćanja]]="Gotovina","5%","nema bonusa")</f>
        <v>5%</v>
      </c>
      <c r="J12" s="120" t="str">
        <f>+IF(AND(Table4[[#This Row],[Prihod (RSD)]]&gt;600000,Table4[[#This Row],[Količina]]&gt;=3),H12*0.2,"")</f>
        <v/>
      </c>
      <c r="K12" s="96" t="str">
        <f>+IF(OR(Table4[[#This Row],[Prihod (RSD)]]&gt;500000,Table4[[#This Row],[Količina]]&gt;=5),"Premium","")</f>
        <v/>
      </c>
      <c r="M12" s="218"/>
      <c r="N12" s="218"/>
      <c r="O12" s="218"/>
      <c r="P12" s="218"/>
      <c r="Q12" s="218"/>
      <c r="R12" s="218"/>
      <c r="S12" s="218"/>
      <c r="T12" s="218"/>
      <c r="U12" s="26"/>
      <c r="V12" s="26"/>
    </row>
    <row r="13" spans="2:22" ht="15" thickTop="1" x14ac:dyDescent="0.3">
      <c r="B13" s="8" t="s">
        <v>16</v>
      </c>
      <c r="C13" s="1" t="s">
        <v>390</v>
      </c>
      <c r="D13" s="4">
        <v>45979</v>
      </c>
      <c r="E13" s="4" t="s">
        <v>46</v>
      </c>
      <c r="F13" s="95">
        <v>334200.2</v>
      </c>
      <c r="G13" s="1">
        <v>1</v>
      </c>
      <c r="H13" s="95">
        <f>+Table4[[#This Row],[Cena (RSD)]]*Table4[[#This Row],[Količina]]</f>
        <v>334200.2</v>
      </c>
      <c r="I13" s="94" t="str">
        <f>+IF(Table4[[#This Row],[Način plaćanja]]="Gotovina","5%","nema bonusa")</f>
        <v>nema bonusa</v>
      </c>
      <c r="J13" s="120" t="str">
        <f>+IF(AND(Table4[[#This Row],[Prihod (RSD)]]&gt;600000,Table4[[#This Row],[Količina]]&gt;=3),H13*0.2,"")</f>
        <v/>
      </c>
      <c r="K13" s="96" t="str">
        <f>+IF(OR(Table4[[#This Row],[Prihod (RSD)]]&gt;500000,Table4[[#This Row],[Količina]]&gt;=5),"Premium","")</f>
        <v/>
      </c>
      <c r="M13" s="104"/>
      <c r="N13" s="104"/>
      <c r="O13" s="104"/>
      <c r="P13" s="104"/>
      <c r="Q13" s="104"/>
      <c r="R13" s="104"/>
      <c r="S13" s="104"/>
      <c r="T13" s="104"/>
    </row>
    <row r="14" spans="2:22" ht="18.600000000000001" thickBot="1" x14ac:dyDescent="0.4">
      <c r="B14" s="8" t="s">
        <v>16</v>
      </c>
      <c r="C14" s="1" t="s">
        <v>391</v>
      </c>
      <c r="D14" s="4">
        <v>45987</v>
      </c>
      <c r="E14" s="4" t="s">
        <v>47</v>
      </c>
      <c r="F14" s="95">
        <v>299999.90000000002</v>
      </c>
      <c r="G14" s="1">
        <v>4</v>
      </c>
      <c r="H14" s="95">
        <f>+Table4[[#This Row],[Cena (RSD)]]*Table4[[#This Row],[Količina]]</f>
        <v>1199999.6000000001</v>
      </c>
      <c r="I14" s="94" t="str">
        <f>+IF(Table4[[#This Row],[Način plaćanja]]="Gotovina","5%","nema bonusa")</f>
        <v>5%</v>
      </c>
      <c r="J14" s="120">
        <f>+IF(AND(Table4[[#This Row],[Prihod (RSD)]]&gt;600000,Table4[[#This Row],[Količina]]&gt;=3),H14*0.2,"")</f>
        <v>239999.92000000004</v>
      </c>
      <c r="K14" s="96" t="str">
        <f>+IF(OR(Table4[[#This Row],[Prihod (RSD)]]&gt;500000,Table4[[#This Row],[Količina]]&gt;=5),"Premium","")</f>
        <v>Premium</v>
      </c>
      <c r="M14" s="102" t="s">
        <v>409</v>
      </c>
      <c r="N14" s="103"/>
      <c r="O14" s="103"/>
      <c r="P14" s="103"/>
      <c r="Q14" s="103"/>
      <c r="R14" s="103"/>
      <c r="S14" s="103"/>
      <c r="T14" s="103"/>
    </row>
    <row r="15" spans="2:22" ht="14.4" customHeight="1" thickTop="1" thickBot="1" x14ac:dyDescent="0.35">
      <c r="B15" s="8" t="s">
        <v>13</v>
      </c>
      <c r="C15" s="1" t="s">
        <v>392</v>
      </c>
      <c r="D15" s="4">
        <v>45964</v>
      </c>
      <c r="E15" s="4" t="s">
        <v>46</v>
      </c>
      <c r="F15" s="95">
        <v>318750.59999999998</v>
      </c>
      <c r="G15" s="1">
        <v>3</v>
      </c>
      <c r="H15" s="95">
        <f>+Table4[[#This Row],[Cena (RSD)]]*Table4[[#This Row],[Količina]]</f>
        <v>956251.79999999993</v>
      </c>
      <c r="I15" s="94" t="str">
        <f>+IF(Table4[[#This Row],[Način plaćanja]]="Gotovina","5%","nema bonusa")</f>
        <v>nema bonusa</v>
      </c>
      <c r="J15" s="120">
        <f>+IF(AND(Table4[[#This Row],[Prihod (RSD)]]&gt;600000,Table4[[#This Row],[Količina]]&gt;=3),H15*0.2,"")</f>
        <v>191250.36</v>
      </c>
      <c r="K15" s="96" t="str">
        <f>+IF(OR(Table4[[#This Row],[Prihod (RSD)]]&gt;500000,Table4[[#This Row],[Količina]]&gt;=5),"Premium","")</f>
        <v>Premium</v>
      </c>
      <c r="M15" s="217" t="s">
        <v>417</v>
      </c>
      <c r="N15" s="218"/>
      <c r="O15" s="218"/>
      <c r="P15" s="218"/>
      <c r="Q15" s="218"/>
      <c r="R15" s="218"/>
      <c r="S15" s="218"/>
      <c r="T15" s="218"/>
      <c r="U15" s="26"/>
      <c r="V15" s="26"/>
    </row>
    <row r="16" spans="2:22" ht="15.6" thickTop="1" thickBot="1" x14ac:dyDescent="0.35">
      <c r="B16" s="8" t="s">
        <v>13</v>
      </c>
      <c r="C16" s="1" t="s">
        <v>393</v>
      </c>
      <c r="D16" s="4">
        <v>45970</v>
      </c>
      <c r="E16" s="4" t="s">
        <v>46</v>
      </c>
      <c r="F16" s="95">
        <v>289500.40000000002</v>
      </c>
      <c r="G16" s="1">
        <v>2</v>
      </c>
      <c r="H16" s="95">
        <f>+Table4[[#This Row],[Cena (RSD)]]*Table4[[#This Row],[Količina]]</f>
        <v>579000.80000000005</v>
      </c>
      <c r="I16" s="94" t="str">
        <f>+IF(Table4[[#This Row],[Način plaćanja]]="Gotovina","5%","nema bonusa")</f>
        <v>nema bonusa</v>
      </c>
      <c r="J16" s="120" t="str">
        <f>+IF(AND(Table4[[#This Row],[Prihod (RSD)]]&gt;600000,Table4[[#This Row],[Količina]]&gt;=3),H16*0.2,"")</f>
        <v/>
      </c>
      <c r="K16" s="96" t="str">
        <f>+IF(OR(Table4[[#This Row],[Prihod (RSD)]]&gt;500000,Table4[[#This Row],[Količina]]&gt;=5),"Premium","")</f>
        <v>Premium</v>
      </c>
      <c r="M16" s="218"/>
      <c r="N16" s="218"/>
      <c r="O16" s="218"/>
      <c r="P16" s="218"/>
      <c r="Q16" s="218"/>
      <c r="R16" s="218"/>
      <c r="S16" s="218"/>
      <c r="T16" s="218"/>
      <c r="U16" s="26"/>
      <c r="V16" s="26"/>
    </row>
    <row r="17" spans="2:22" ht="15.6" thickTop="1" thickBot="1" x14ac:dyDescent="0.35">
      <c r="B17" s="8" t="s">
        <v>13</v>
      </c>
      <c r="C17" s="1" t="s">
        <v>394</v>
      </c>
      <c r="D17" s="4">
        <v>45982</v>
      </c>
      <c r="E17" s="4" t="s">
        <v>46</v>
      </c>
      <c r="F17" s="95">
        <v>455800.8</v>
      </c>
      <c r="G17" s="1">
        <v>1</v>
      </c>
      <c r="H17" s="95">
        <f>+Table4[[#This Row],[Cena (RSD)]]*Table4[[#This Row],[Količina]]</f>
        <v>455800.8</v>
      </c>
      <c r="I17" s="94" t="str">
        <f>+IF(Table4[[#This Row],[Način plaćanja]]="Gotovina","5%","nema bonusa")</f>
        <v>nema bonusa</v>
      </c>
      <c r="J17" s="120" t="str">
        <f>+IF(AND(Table4[[#This Row],[Prihod (RSD)]]&gt;600000,Table4[[#This Row],[Količina]]&gt;=3),H17*0.2,"")</f>
        <v/>
      </c>
      <c r="K17" s="96" t="str">
        <f>+IF(OR(Table4[[#This Row],[Prihod (RSD)]]&gt;500000,Table4[[#This Row],[Količina]]&gt;=5),"Premium","")</f>
        <v/>
      </c>
      <c r="M17" s="218"/>
      <c r="N17" s="218"/>
      <c r="O17" s="218"/>
      <c r="P17" s="218"/>
      <c r="Q17" s="218"/>
      <c r="R17" s="218"/>
      <c r="S17" s="218"/>
      <c r="T17" s="218"/>
      <c r="U17" s="26"/>
      <c r="V17" s="26"/>
    </row>
    <row r="18" spans="2:22" ht="15.6" thickTop="1" thickBot="1" x14ac:dyDescent="0.35">
      <c r="B18" s="8" t="s">
        <v>13</v>
      </c>
      <c r="C18" s="1" t="s">
        <v>388</v>
      </c>
      <c r="D18" s="4">
        <v>45989</v>
      </c>
      <c r="E18" s="4" t="s">
        <v>47</v>
      </c>
      <c r="F18" s="95">
        <v>260300.25</v>
      </c>
      <c r="G18" s="1">
        <v>3</v>
      </c>
      <c r="H18" s="95">
        <f>+Table4[[#This Row],[Cena (RSD)]]*Table4[[#This Row],[Količina]]</f>
        <v>780900.75</v>
      </c>
      <c r="I18" s="94" t="str">
        <f>+IF(Table4[[#This Row],[Način plaćanja]]="Gotovina","5%","nema bonusa")</f>
        <v>5%</v>
      </c>
      <c r="J18" s="120">
        <f>+IF(AND(Table4[[#This Row],[Prihod (RSD)]]&gt;600000,Table4[[#This Row],[Količina]]&gt;=3),H18*0.2,"")</f>
        <v>156180.15</v>
      </c>
      <c r="K18" s="96" t="str">
        <f>+IF(OR(Table4[[#This Row],[Prihod (RSD)]]&gt;500000,Table4[[#This Row],[Količina]]&gt;=5),"Premium","")</f>
        <v>Premium</v>
      </c>
      <c r="M18" s="218"/>
      <c r="N18" s="218"/>
      <c r="O18" s="218"/>
      <c r="P18" s="218"/>
      <c r="Q18" s="218"/>
      <c r="R18" s="218"/>
      <c r="S18" s="218"/>
      <c r="T18" s="218"/>
    </row>
    <row r="19" spans="2:22" ht="15" thickTop="1" x14ac:dyDescent="0.3">
      <c r="B19" s="8" t="s">
        <v>28</v>
      </c>
      <c r="C19" s="1" t="s">
        <v>395</v>
      </c>
      <c r="D19" s="4">
        <v>45965</v>
      </c>
      <c r="E19" s="4" t="s">
        <v>47</v>
      </c>
      <c r="F19" s="95">
        <v>152600.1</v>
      </c>
      <c r="G19" s="1">
        <v>4</v>
      </c>
      <c r="H19" s="95">
        <f>+Table4[[#This Row],[Cena (RSD)]]*Table4[[#This Row],[Količina]]</f>
        <v>610400.4</v>
      </c>
      <c r="I19" s="94" t="str">
        <f>+IF(Table4[[#This Row],[Način plaćanja]]="Gotovina","5%","nema bonusa")</f>
        <v>5%</v>
      </c>
      <c r="J19" s="120">
        <f>+IF(AND(Table4[[#This Row],[Prihod (RSD)]]&gt;600000,Table4[[#This Row],[Količina]]&gt;=3),H19*0.2,"")</f>
        <v>122080.08000000002</v>
      </c>
      <c r="K19" s="96" t="str">
        <f>+IF(OR(Table4[[#This Row],[Prihod (RSD)]]&gt;500000,Table4[[#This Row],[Količina]]&gt;=5),"Premium","")</f>
        <v>Premium</v>
      </c>
      <c r="M19" s="99"/>
      <c r="N19" s="99"/>
      <c r="O19" s="99"/>
      <c r="P19" s="99"/>
      <c r="Q19" s="99"/>
      <c r="R19" s="99"/>
      <c r="S19" s="99"/>
      <c r="T19" s="99"/>
    </row>
    <row r="20" spans="2:22" ht="18.600000000000001" thickBot="1" x14ac:dyDescent="0.4">
      <c r="B20" s="8" t="s">
        <v>28</v>
      </c>
      <c r="C20" s="1" t="s">
        <v>396</v>
      </c>
      <c r="D20" s="4">
        <v>45972</v>
      </c>
      <c r="E20" s="4" t="s">
        <v>46</v>
      </c>
      <c r="F20" s="95">
        <v>212450.75</v>
      </c>
      <c r="G20" s="1">
        <v>1</v>
      </c>
      <c r="H20" s="95">
        <f>+Table4[[#This Row],[Cena (RSD)]]*Table4[[#This Row],[Količina]]</f>
        <v>212450.75</v>
      </c>
      <c r="I20" s="94" t="str">
        <f>+IF(Table4[[#This Row],[Način plaćanja]]="Gotovina","5%","nema bonusa")</f>
        <v>nema bonusa</v>
      </c>
      <c r="J20" s="120" t="str">
        <f>+IF(AND(Table4[[#This Row],[Prihod (RSD)]]&gt;600000,Table4[[#This Row],[Količina]]&gt;=3),H20*0.2,"")</f>
        <v/>
      </c>
      <c r="K20" s="96" t="str">
        <f>+IF(OR(Table4[[#This Row],[Prihod (RSD)]]&gt;500000,Table4[[#This Row],[Količina]]&gt;=5),"Premium","")</f>
        <v/>
      </c>
      <c r="M20" s="102" t="s">
        <v>412</v>
      </c>
      <c r="N20" s="103"/>
      <c r="O20" s="103"/>
      <c r="P20" s="103"/>
      <c r="Q20" s="103"/>
      <c r="R20" s="103"/>
      <c r="S20" s="103"/>
      <c r="T20" s="103"/>
    </row>
    <row r="21" spans="2:22" ht="14.4" customHeight="1" thickTop="1" thickBot="1" x14ac:dyDescent="0.35">
      <c r="B21" s="8" t="s">
        <v>28</v>
      </c>
      <c r="C21" s="1" t="s">
        <v>397</v>
      </c>
      <c r="D21" s="4">
        <v>45978</v>
      </c>
      <c r="E21" s="4" t="s">
        <v>47</v>
      </c>
      <c r="F21" s="95">
        <v>145800.35</v>
      </c>
      <c r="G21" s="1">
        <v>2</v>
      </c>
      <c r="H21" s="95">
        <f>+Table4[[#This Row],[Cena (RSD)]]*Table4[[#This Row],[Količina]]</f>
        <v>291600.7</v>
      </c>
      <c r="I21" s="94" t="str">
        <f>+IF(Table4[[#This Row],[Način plaćanja]]="Gotovina","5%","nema bonusa")</f>
        <v>5%</v>
      </c>
      <c r="J21" s="120" t="str">
        <f>+IF(AND(Table4[[#This Row],[Prihod (RSD)]]&gt;600000,Table4[[#This Row],[Količina]]&gt;=3),H21*0.2,"")</f>
        <v/>
      </c>
      <c r="K21" s="96" t="str">
        <f>+IF(OR(Table4[[#This Row],[Prihod (RSD)]]&gt;500000,Table4[[#This Row],[Količina]]&gt;=5),"Premium","")</f>
        <v/>
      </c>
      <c r="M21" s="219" t="s">
        <v>418</v>
      </c>
      <c r="N21" s="220"/>
      <c r="O21" s="220"/>
      <c r="P21" s="220"/>
      <c r="Q21" s="220"/>
      <c r="R21" s="220"/>
      <c r="S21" s="220"/>
      <c r="T21" s="220"/>
    </row>
    <row r="22" spans="2:22" ht="15.6" thickTop="1" thickBot="1" x14ac:dyDescent="0.35">
      <c r="B22" s="8" t="s">
        <v>28</v>
      </c>
      <c r="C22" s="1" t="s">
        <v>395</v>
      </c>
      <c r="D22" s="4">
        <v>45985</v>
      </c>
      <c r="E22" s="4" t="s">
        <v>46</v>
      </c>
      <c r="F22" s="95">
        <v>156200.5</v>
      </c>
      <c r="G22" s="1">
        <v>3</v>
      </c>
      <c r="H22" s="95">
        <f>+Table4[[#This Row],[Cena (RSD)]]*Table4[[#This Row],[Količina]]</f>
        <v>468601.5</v>
      </c>
      <c r="I22" s="94" t="str">
        <f>+IF(Table4[[#This Row],[Način plaćanja]]="Gotovina","5%","nema bonusa")</f>
        <v>nema bonusa</v>
      </c>
      <c r="J22" s="120" t="str">
        <f>+IF(AND(Table4[[#This Row],[Prihod (RSD)]]&gt;600000,Table4[[#This Row],[Količina]]&gt;=3),H22*0.2,"")</f>
        <v/>
      </c>
      <c r="K22" s="96" t="str">
        <f>+IF(OR(Table4[[#This Row],[Prihod (RSD)]]&gt;500000,Table4[[#This Row],[Količina]]&gt;=5),"Premium","")</f>
        <v/>
      </c>
      <c r="M22" s="220"/>
      <c r="N22" s="220"/>
      <c r="O22" s="220"/>
      <c r="P22" s="220"/>
      <c r="Q22" s="220"/>
      <c r="R22" s="220"/>
      <c r="S22" s="220"/>
      <c r="T22" s="220"/>
    </row>
    <row r="23" spans="2:22" ht="15.6" thickTop="1" thickBot="1" x14ac:dyDescent="0.35">
      <c r="B23" s="8" t="s">
        <v>11</v>
      </c>
      <c r="C23" s="1" t="s">
        <v>398</v>
      </c>
      <c r="D23" s="4">
        <v>45967</v>
      </c>
      <c r="E23" s="4" t="s">
        <v>46</v>
      </c>
      <c r="F23" s="95">
        <v>502300.9</v>
      </c>
      <c r="G23" s="1">
        <v>2</v>
      </c>
      <c r="H23" s="95">
        <f>+Table4[[#This Row],[Cena (RSD)]]*Table4[[#This Row],[Količina]]</f>
        <v>1004601.8</v>
      </c>
      <c r="I23" s="94" t="str">
        <f>+IF(Table4[[#This Row],[Način plaćanja]]="Gotovina","5%","nema bonusa")</f>
        <v>nema bonusa</v>
      </c>
      <c r="J23" s="120" t="str">
        <f>+IF(AND(Table4[[#This Row],[Prihod (RSD)]]&gt;600000,Table4[[#This Row],[Količina]]&gt;=3),H23*0.2,"")</f>
        <v/>
      </c>
      <c r="K23" s="96" t="str">
        <f>+IF(OR(Table4[[#This Row],[Prihod (RSD)]]&gt;500000,Table4[[#This Row],[Količina]]&gt;=5),"Premium","")</f>
        <v>Premium</v>
      </c>
      <c r="M23" s="220"/>
      <c r="N23" s="220"/>
      <c r="O23" s="220"/>
      <c r="P23" s="220"/>
      <c r="Q23" s="220"/>
      <c r="R23" s="220"/>
      <c r="S23" s="220"/>
      <c r="T23" s="220"/>
    </row>
    <row r="24" spans="2:22" ht="15.6" thickTop="1" thickBot="1" x14ac:dyDescent="0.35">
      <c r="B24" s="8" t="s">
        <v>11</v>
      </c>
      <c r="C24" s="1" t="s">
        <v>399</v>
      </c>
      <c r="D24" s="4">
        <v>45974</v>
      </c>
      <c r="E24" s="4" t="s">
        <v>47</v>
      </c>
      <c r="F24" s="95">
        <v>307800.40000000002</v>
      </c>
      <c r="G24" s="1">
        <v>1</v>
      </c>
      <c r="H24" s="95">
        <f>+Table4[[#This Row],[Cena (RSD)]]*Table4[[#This Row],[Količina]]</f>
        <v>307800.40000000002</v>
      </c>
      <c r="I24" s="94" t="str">
        <f>+IF(Table4[[#This Row],[Način plaćanja]]="Gotovina","5%","nema bonusa")</f>
        <v>5%</v>
      </c>
      <c r="J24" s="120" t="str">
        <f>+IF(AND(Table4[[#This Row],[Prihod (RSD)]]&gt;600000,Table4[[#This Row],[Količina]]&gt;=3),H24*0.2,"")</f>
        <v/>
      </c>
      <c r="K24" s="96" t="str">
        <f>+IF(OR(Table4[[#This Row],[Prihod (RSD)]]&gt;500000,Table4[[#This Row],[Količina]]&gt;=5),"Premium","")</f>
        <v/>
      </c>
      <c r="M24" s="220"/>
      <c r="N24" s="220"/>
      <c r="O24" s="220"/>
      <c r="P24" s="220"/>
      <c r="Q24" s="220"/>
      <c r="R24" s="220"/>
      <c r="S24" s="220"/>
      <c r="T24" s="220"/>
    </row>
    <row r="25" spans="2:22" ht="15" thickTop="1" x14ac:dyDescent="0.3">
      <c r="B25" s="8" t="s">
        <v>11</v>
      </c>
      <c r="C25" s="1" t="s">
        <v>391</v>
      </c>
      <c r="D25" s="4">
        <v>45981</v>
      </c>
      <c r="E25" s="4" t="s">
        <v>46</v>
      </c>
      <c r="F25" s="95">
        <v>322500.75</v>
      </c>
      <c r="G25" s="1">
        <v>2</v>
      </c>
      <c r="H25" s="95">
        <f>+Table4[[#This Row],[Cena (RSD)]]*Table4[[#This Row],[Količina]]</f>
        <v>645001.5</v>
      </c>
      <c r="I25" s="94" t="str">
        <f>+IF(Table4[[#This Row],[Način plaćanja]]="Gotovina","5%","nema bonusa")</f>
        <v>nema bonusa</v>
      </c>
      <c r="J25" s="120" t="str">
        <f>+IF(AND(Table4[[#This Row],[Prihod (RSD)]]&gt;600000,Table4[[#This Row],[Količina]]&gt;=3),H25*0.2,"")</f>
        <v/>
      </c>
      <c r="K25" s="96" t="str">
        <f>+IF(OR(Table4[[#This Row],[Prihod (RSD)]]&gt;500000,Table4[[#This Row],[Količina]]&gt;=5),"Premium","")</f>
        <v>Premium</v>
      </c>
      <c r="M25" s="99"/>
      <c r="N25" s="99"/>
      <c r="O25" s="99"/>
      <c r="P25" s="99"/>
      <c r="Q25" s="99"/>
      <c r="R25" s="99"/>
      <c r="S25" s="99"/>
      <c r="T25" s="99"/>
    </row>
    <row r="26" spans="2:22" x14ac:dyDescent="0.3">
      <c r="B26" s="8" t="s">
        <v>11</v>
      </c>
      <c r="C26" s="1" t="s">
        <v>393</v>
      </c>
      <c r="D26" s="4">
        <v>45988</v>
      </c>
      <c r="E26" s="4" t="s">
        <v>47</v>
      </c>
      <c r="F26" s="95">
        <v>295600.3</v>
      </c>
      <c r="G26" s="1">
        <v>1</v>
      </c>
      <c r="H26" s="95">
        <f>+Table4[[#This Row],[Cena (RSD)]]*Table4[[#This Row],[Količina]]</f>
        <v>295600.3</v>
      </c>
      <c r="I26" s="94" t="str">
        <f>+IF(Table4[[#This Row],[Način plaćanja]]="Gotovina","5%","nema bonusa")</f>
        <v>5%</v>
      </c>
      <c r="J26" s="120" t="str">
        <f>+IF(AND(Table4[[#This Row],[Prihod (RSD)]]&gt;600000,Table4[[#This Row],[Količina]]&gt;=3),H26*0.2,"")</f>
        <v/>
      </c>
      <c r="K26" s="96" t="str">
        <f>+IF(OR(Table4[[#This Row],[Prihod (RSD)]]&gt;500000,Table4[[#This Row],[Količina]]&gt;=5),"Premium","")</f>
        <v/>
      </c>
      <c r="M26" s="99"/>
      <c r="N26" s="99"/>
      <c r="O26" s="99"/>
      <c r="P26" s="99"/>
      <c r="Q26" s="99"/>
      <c r="R26" s="99"/>
      <c r="S26" s="99"/>
      <c r="T26" s="99"/>
    </row>
    <row r="27" spans="2:22" x14ac:dyDescent="0.3">
      <c r="B27" s="8" t="s">
        <v>14</v>
      </c>
      <c r="C27" s="1" t="s">
        <v>389</v>
      </c>
      <c r="D27" s="4">
        <v>45968</v>
      </c>
      <c r="E27" s="4" t="s">
        <v>46</v>
      </c>
      <c r="F27" s="95">
        <v>281400.2</v>
      </c>
      <c r="G27" s="1">
        <v>2</v>
      </c>
      <c r="H27" s="95">
        <f>+Table4[[#This Row],[Cena (RSD)]]*Table4[[#This Row],[Količina]]</f>
        <v>562800.4</v>
      </c>
      <c r="I27" s="94" t="str">
        <f>+IF(Table4[[#This Row],[Način plaćanja]]="Gotovina","5%","nema bonusa")</f>
        <v>nema bonusa</v>
      </c>
      <c r="J27" s="120" t="str">
        <f>+IF(AND(Table4[[#This Row],[Prihod (RSD)]]&gt;600000,Table4[[#This Row],[Količina]]&gt;=3),H27*0.2,"")</f>
        <v/>
      </c>
      <c r="K27" s="96" t="str">
        <f>+IF(OR(Table4[[#This Row],[Prihod (RSD)]]&gt;500000,Table4[[#This Row],[Količina]]&gt;=5),"Premium","")</f>
        <v>Premium</v>
      </c>
      <c r="M27" s="99"/>
      <c r="N27" s="99"/>
      <c r="O27" s="99"/>
      <c r="P27" s="99"/>
      <c r="Q27" s="99"/>
      <c r="R27" s="99"/>
      <c r="S27" s="99"/>
      <c r="T27" s="99"/>
    </row>
    <row r="28" spans="2:22" x14ac:dyDescent="0.3">
      <c r="B28" s="8" t="s">
        <v>14</v>
      </c>
      <c r="C28" s="1" t="s">
        <v>390</v>
      </c>
      <c r="D28" s="4">
        <v>45975</v>
      </c>
      <c r="E28" s="4" t="s">
        <v>46</v>
      </c>
      <c r="F28" s="95">
        <v>331200.8</v>
      </c>
      <c r="G28" s="1">
        <v>3</v>
      </c>
      <c r="H28" s="95">
        <f>+Table4[[#This Row],[Cena (RSD)]]*Table4[[#This Row],[Količina]]</f>
        <v>993602.39999999991</v>
      </c>
      <c r="I28" s="94" t="str">
        <f>+IF(Table4[[#This Row],[Način plaćanja]]="Gotovina","5%","nema bonusa")</f>
        <v>nema bonusa</v>
      </c>
      <c r="J28" s="120">
        <f>+IF(AND(Table4[[#This Row],[Prihod (RSD)]]&gt;600000,Table4[[#This Row],[Količina]]&gt;=3),H28*0.2,"")</f>
        <v>198720.47999999998</v>
      </c>
      <c r="K28" s="96" t="str">
        <f>+IF(OR(Table4[[#This Row],[Prihod (RSD)]]&gt;500000,Table4[[#This Row],[Količina]]&gt;=5),"Premium","")</f>
        <v>Premium</v>
      </c>
      <c r="M28" s="99"/>
      <c r="N28" s="99"/>
      <c r="O28" s="99"/>
      <c r="P28" s="99"/>
      <c r="Q28" s="99"/>
      <c r="R28" s="99"/>
      <c r="S28" s="99"/>
      <c r="T28" s="99"/>
    </row>
    <row r="29" spans="2:22" x14ac:dyDescent="0.3">
      <c r="B29" s="8" t="s">
        <v>14</v>
      </c>
      <c r="C29" s="1" t="s">
        <v>388</v>
      </c>
      <c r="D29" s="4">
        <v>45983</v>
      </c>
      <c r="E29" s="4" t="s">
        <v>46</v>
      </c>
      <c r="F29" s="95">
        <v>248900.55</v>
      </c>
      <c r="G29" s="1">
        <v>2</v>
      </c>
      <c r="H29" s="95">
        <f>+Table4[[#This Row],[Cena (RSD)]]*Table4[[#This Row],[Količina]]</f>
        <v>497801.1</v>
      </c>
      <c r="I29" s="94" t="str">
        <f>+IF(Table4[[#This Row],[Način plaćanja]]="Gotovina","5%","nema bonusa")</f>
        <v>nema bonusa</v>
      </c>
      <c r="J29" s="120" t="str">
        <f>+IF(AND(Table4[[#This Row],[Prihod (RSD)]]&gt;600000,Table4[[#This Row],[Količina]]&gt;=3),H29*0.2,"")</f>
        <v/>
      </c>
      <c r="K29" s="96" t="str">
        <f>+IF(OR(Table4[[#This Row],[Prihod (RSD)]]&gt;500000,Table4[[#This Row],[Količina]]&gt;=5),"Premium","")</f>
        <v/>
      </c>
      <c r="M29" s="99"/>
      <c r="N29" s="99"/>
      <c r="O29" s="99"/>
      <c r="P29" s="99"/>
      <c r="Q29" s="99"/>
      <c r="R29" s="99"/>
      <c r="S29" s="99"/>
      <c r="T29" s="99"/>
    </row>
    <row r="30" spans="2:22" x14ac:dyDescent="0.3">
      <c r="B30" s="8" t="s">
        <v>14</v>
      </c>
      <c r="C30" s="1" t="s">
        <v>391</v>
      </c>
      <c r="D30" s="4">
        <v>45990</v>
      </c>
      <c r="E30" s="4" t="s">
        <v>47</v>
      </c>
      <c r="F30" s="95">
        <v>305500.95</v>
      </c>
      <c r="G30" s="1">
        <v>2</v>
      </c>
      <c r="H30" s="95">
        <f>+Table4[[#This Row],[Cena (RSD)]]*Table4[[#This Row],[Količina]]</f>
        <v>611001.9</v>
      </c>
      <c r="I30" s="94" t="str">
        <f>+IF(Table4[[#This Row],[Način plaćanja]]="Gotovina","5%","nema bonusa")</f>
        <v>5%</v>
      </c>
      <c r="J30" s="120" t="str">
        <f>+IF(AND(Table4[[#This Row],[Prihod (RSD)]]&gt;600000,Table4[[#This Row],[Količina]]&gt;=3),H30*0.2,"")</f>
        <v/>
      </c>
      <c r="K30" s="96" t="str">
        <f>+IF(OR(Table4[[#This Row],[Prihod (RSD)]]&gt;500000,Table4[[#This Row],[Količina]]&gt;=5),"Premium","")</f>
        <v>Premium</v>
      </c>
      <c r="M30" s="99"/>
      <c r="N30" s="99"/>
      <c r="O30" s="99"/>
      <c r="P30" s="99"/>
      <c r="Q30" s="99"/>
      <c r="R30" s="99"/>
      <c r="S30" s="99"/>
      <c r="T30" s="99"/>
    </row>
    <row r="31" spans="2:22" x14ac:dyDescent="0.3">
      <c r="B31" s="8" t="s">
        <v>25</v>
      </c>
      <c r="C31" s="1" t="s">
        <v>391</v>
      </c>
      <c r="D31" s="4">
        <v>45969</v>
      </c>
      <c r="E31" s="4" t="s">
        <v>46</v>
      </c>
      <c r="F31" s="95">
        <v>319800.40000000002</v>
      </c>
      <c r="G31" s="1">
        <v>1</v>
      </c>
      <c r="H31" s="95">
        <f>+Table4[[#This Row],[Cena (RSD)]]*Table4[[#This Row],[Količina]]</f>
        <v>319800.40000000002</v>
      </c>
      <c r="I31" s="94" t="str">
        <f>+IF(Table4[[#This Row],[Način plaćanja]]="Gotovina","5%","nema bonusa")</f>
        <v>nema bonusa</v>
      </c>
      <c r="J31" s="120" t="str">
        <f>+IF(AND(Table4[[#This Row],[Prihod (RSD)]]&gt;600000,Table4[[#This Row],[Količina]]&gt;=3),H31*0.2,"")</f>
        <v/>
      </c>
      <c r="K31" s="96" t="str">
        <f>+IF(OR(Table4[[#This Row],[Prihod (RSD)]]&gt;500000,Table4[[#This Row],[Količina]]&gt;=5),"Premium","")</f>
        <v/>
      </c>
      <c r="M31" s="99"/>
      <c r="N31" s="99"/>
      <c r="O31" s="99"/>
      <c r="P31" s="99"/>
      <c r="Q31" s="99"/>
      <c r="R31" s="99"/>
      <c r="S31" s="99"/>
      <c r="T31" s="99"/>
    </row>
    <row r="32" spans="2:22" x14ac:dyDescent="0.3">
      <c r="B32" s="8" t="s">
        <v>25</v>
      </c>
      <c r="C32" s="1" t="s">
        <v>394</v>
      </c>
      <c r="D32" s="4">
        <v>45976</v>
      </c>
      <c r="E32" s="4" t="s">
        <v>46</v>
      </c>
      <c r="F32" s="95">
        <v>452700.75</v>
      </c>
      <c r="G32" s="1">
        <v>3</v>
      </c>
      <c r="H32" s="95">
        <f>+Table4[[#This Row],[Cena (RSD)]]*Table4[[#This Row],[Količina]]</f>
        <v>1358102.25</v>
      </c>
      <c r="I32" s="94" t="str">
        <f>+IF(Table4[[#This Row],[Način plaćanja]]="Gotovina","5%","nema bonusa")</f>
        <v>nema bonusa</v>
      </c>
      <c r="J32" s="120">
        <f>+IF(AND(Table4[[#This Row],[Prihod (RSD)]]&gt;600000,Table4[[#This Row],[Količina]]&gt;=3),H32*0.2,"")</f>
        <v>271620.45</v>
      </c>
      <c r="K32" s="96" t="str">
        <f>+IF(OR(Table4[[#This Row],[Prihod (RSD)]]&gt;500000,Table4[[#This Row],[Količina]]&gt;=5),"Premium","")</f>
        <v>Premium</v>
      </c>
      <c r="M32" s="99"/>
      <c r="N32" s="99"/>
      <c r="O32" s="99"/>
      <c r="P32" s="99"/>
      <c r="Q32" s="99"/>
      <c r="R32" s="99"/>
      <c r="S32" s="99"/>
      <c r="T32" s="99"/>
    </row>
    <row r="33" spans="2:20" x14ac:dyDescent="0.3">
      <c r="B33" s="8" t="s">
        <v>25</v>
      </c>
      <c r="C33" s="1" t="s">
        <v>393</v>
      </c>
      <c r="D33" s="4">
        <v>45984</v>
      </c>
      <c r="E33" s="4" t="s">
        <v>47</v>
      </c>
      <c r="F33" s="95">
        <v>288900.59999999998</v>
      </c>
      <c r="G33" s="1">
        <v>2</v>
      </c>
      <c r="H33" s="95">
        <f>+Table4[[#This Row],[Cena (RSD)]]*Table4[[#This Row],[Količina]]</f>
        <v>577801.19999999995</v>
      </c>
      <c r="I33" s="94" t="str">
        <f>+IF(Table4[[#This Row],[Način plaćanja]]="Gotovina","5%","nema bonusa")</f>
        <v>5%</v>
      </c>
      <c r="J33" s="120" t="str">
        <f>+IF(AND(Table4[[#This Row],[Prihod (RSD)]]&gt;600000,Table4[[#This Row],[Količina]]&gt;=3),H33*0.2,"")</f>
        <v/>
      </c>
      <c r="K33" s="96" t="str">
        <f>+IF(OR(Table4[[#This Row],[Prihod (RSD)]]&gt;500000,Table4[[#This Row],[Količina]]&gt;=5),"Premium","")</f>
        <v>Premium</v>
      </c>
      <c r="M33" s="99"/>
      <c r="N33" s="99"/>
      <c r="O33" s="99"/>
      <c r="P33" s="99"/>
      <c r="Q33" s="99"/>
      <c r="R33" s="99"/>
      <c r="S33" s="99"/>
      <c r="T33" s="99"/>
    </row>
    <row r="34" spans="2:20" x14ac:dyDescent="0.3">
      <c r="B34" s="8" t="s">
        <v>25</v>
      </c>
      <c r="C34" s="1" t="s">
        <v>399</v>
      </c>
      <c r="D34" s="4">
        <v>45991</v>
      </c>
      <c r="E34" s="4" t="s">
        <v>46</v>
      </c>
      <c r="F34" s="95">
        <v>310200.45</v>
      </c>
      <c r="G34" s="1">
        <v>1</v>
      </c>
      <c r="H34" s="95">
        <f>+Table4[[#This Row],[Cena (RSD)]]*Table4[[#This Row],[Količina]]</f>
        <v>310200.45</v>
      </c>
      <c r="I34" s="94" t="str">
        <f>+IF(Table4[[#This Row],[Način plaćanja]]="Gotovina","5%","nema bonusa")</f>
        <v>nema bonusa</v>
      </c>
      <c r="J34" s="120" t="str">
        <f>+IF(AND(Table4[[#This Row],[Prihod (RSD)]]&gt;600000,Table4[[#This Row],[Količina]]&gt;=3),H34*0.2,"")</f>
        <v/>
      </c>
      <c r="K34" s="96" t="str">
        <f>+IF(OR(Table4[[#This Row],[Prihod (RSD)]]&gt;500000,Table4[[#This Row],[Količina]]&gt;=5),"Premium","")</f>
        <v/>
      </c>
      <c r="M34" s="99"/>
      <c r="N34" s="99"/>
      <c r="O34" s="99"/>
      <c r="P34" s="99"/>
      <c r="Q34" s="99"/>
      <c r="R34" s="99"/>
      <c r="S34" s="99"/>
      <c r="T34" s="99"/>
    </row>
    <row r="35" spans="2:20" x14ac:dyDescent="0.3">
      <c r="B35" s="8" t="s">
        <v>18</v>
      </c>
      <c r="C35" s="1" t="s">
        <v>400</v>
      </c>
      <c r="D35" s="4">
        <v>45970</v>
      </c>
      <c r="E35" s="4" t="s">
        <v>46</v>
      </c>
      <c r="F35" s="95">
        <v>201500.25</v>
      </c>
      <c r="G35" s="1">
        <v>5</v>
      </c>
      <c r="H35" s="95">
        <f>+Table4[[#This Row],[Cena (RSD)]]*Table4[[#This Row],[Količina]]</f>
        <v>1007501.25</v>
      </c>
      <c r="I35" s="94" t="str">
        <f>+IF(Table4[[#This Row],[Način plaćanja]]="Gotovina","5%","nema bonusa")</f>
        <v>nema bonusa</v>
      </c>
      <c r="J35" s="120">
        <f>+IF(AND(Table4[[#This Row],[Prihod (RSD)]]&gt;600000,Table4[[#This Row],[Količina]]&gt;=3),H35*0.2,"")</f>
        <v>201500.25</v>
      </c>
      <c r="K35" s="96" t="str">
        <f>+IF(OR(Table4[[#This Row],[Prihod (RSD)]]&gt;500000,Table4[[#This Row],[Količina]]&gt;=5),"Premium","")</f>
        <v>Premium</v>
      </c>
      <c r="M35" s="99"/>
      <c r="N35" s="99"/>
      <c r="O35" s="99"/>
      <c r="P35" s="99"/>
      <c r="Q35" s="99"/>
      <c r="R35" s="99"/>
      <c r="S35" s="99"/>
      <c r="T35" s="99"/>
    </row>
    <row r="36" spans="2:20" x14ac:dyDescent="0.3">
      <c r="B36" s="8" t="s">
        <v>18</v>
      </c>
      <c r="C36" s="1" t="s">
        <v>397</v>
      </c>
      <c r="D36" s="4">
        <v>45977</v>
      </c>
      <c r="E36" s="4" t="s">
        <v>47</v>
      </c>
      <c r="F36" s="95">
        <v>102300.1</v>
      </c>
      <c r="G36" s="1">
        <v>3</v>
      </c>
      <c r="H36" s="95">
        <f>+Table4[[#This Row],[Cena (RSD)]]*Table4[[#This Row],[Količina]]</f>
        <v>306900.30000000005</v>
      </c>
      <c r="I36" s="94" t="str">
        <f>+IF(Table4[[#This Row],[Način plaćanja]]="Gotovina","5%","nema bonusa")</f>
        <v>5%</v>
      </c>
      <c r="J36" s="120" t="str">
        <f>+IF(AND(Table4[[#This Row],[Prihod (RSD)]]&gt;600000,Table4[[#This Row],[Količina]]&gt;=3),H36*0.2,"")</f>
        <v/>
      </c>
      <c r="K36" s="96" t="str">
        <f>+IF(OR(Table4[[#This Row],[Prihod (RSD)]]&gt;500000,Table4[[#This Row],[Količina]]&gt;=5),"Premium","")</f>
        <v/>
      </c>
      <c r="M36" s="99"/>
      <c r="N36" s="99"/>
      <c r="O36" s="99"/>
      <c r="P36" s="99"/>
      <c r="Q36" s="99"/>
      <c r="R36" s="99"/>
      <c r="S36" s="99"/>
      <c r="T36" s="99"/>
    </row>
    <row r="37" spans="2:20" x14ac:dyDescent="0.3">
      <c r="B37" s="8" t="s">
        <v>18</v>
      </c>
      <c r="C37" s="1" t="s">
        <v>395</v>
      </c>
      <c r="D37" s="4">
        <v>45980</v>
      </c>
      <c r="E37" s="4" t="s">
        <v>46</v>
      </c>
      <c r="F37" s="95">
        <v>154800.35</v>
      </c>
      <c r="G37" s="1">
        <v>6</v>
      </c>
      <c r="H37" s="95">
        <f>+Table4[[#This Row],[Cena (RSD)]]*Table4[[#This Row],[Količina]]</f>
        <v>928802.10000000009</v>
      </c>
      <c r="I37" s="94" t="str">
        <f>+IF(Table4[[#This Row],[Način plaćanja]]="Gotovina","5%","nema bonusa")</f>
        <v>nema bonusa</v>
      </c>
      <c r="J37" s="120">
        <f>+IF(AND(Table4[[#This Row],[Prihod (RSD)]]&gt;600000,Table4[[#This Row],[Količina]]&gt;=3),H37*0.2,"")</f>
        <v>185760.42000000004</v>
      </c>
      <c r="K37" s="96" t="str">
        <f>+IF(OR(Table4[[#This Row],[Prihod (RSD)]]&gt;500000,Table4[[#This Row],[Količina]]&gt;=5),"Premium","")</f>
        <v>Premium</v>
      </c>
      <c r="M37" s="99"/>
      <c r="N37" s="99"/>
      <c r="O37" s="99"/>
      <c r="P37" s="99"/>
      <c r="Q37" s="99"/>
      <c r="R37" s="99"/>
      <c r="S37" s="99"/>
      <c r="T37" s="99"/>
    </row>
    <row r="38" spans="2:20" x14ac:dyDescent="0.3">
      <c r="B38" s="8" t="s">
        <v>18</v>
      </c>
      <c r="C38" s="1" t="s">
        <v>388</v>
      </c>
      <c r="D38" s="4">
        <v>45986</v>
      </c>
      <c r="E38" s="4" t="s">
        <v>46</v>
      </c>
      <c r="F38" s="95">
        <v>259400.5</v>
      </c>
      <c r="G38" s="1">
        <v>1</v>
      </c>
      <c r="H38" s="95">
        <f>+Table4[[#This Row],[Cena (RSD)]]*Table4[[#This Row],[Količina]]</f>
        <v>259400.5</v>
      </c>
      <c r="I38" s="94" t="str">
        <f>+IF(Table4[[#This Row],[Način plaćanja]]="Gotovina","5%","nema bonusa")</f>
        <v>nema bonusa</v>
      </c>
      <c r="J38" s="120" t="str">
        <f>+IF(AND(Table4[[#This Row],[Prihod (RSD)]]&gt;600000,Table4[[#This Row],[Količina]]&gt;=3),H38*0.2,"")</f>
        <v/>
      </c>
      <c r="K38" s="96" t="str">
        <f>+IF(OR(Table4[[#This Row],[Prihod (RSD)]]&gt;500000,Table4[[#This Row],[Količina]]&gt;=5),"Premium","")</f>
        <v/>
      </c>
      <c r="M38" s="99"/>
      <c r="N38" s="99"/>
      <c r="O38" s="99"/>
      <c r="P38" s="99"/>
      <c r="Q38" s="99"/>
      <c r="R38" s="99"/>
      <c r="S38" s="99"/>
      <c r="T38" s="99"/>
    </row>
    <row r="39" spans="2:20" x14ac:dyDescent="0.3">
      <c r="B39" s="8" t="s">
        <v>27</v>
      </c>
      <c r="C39" s="1" t="s">
        <v>399</v>
      </c>
      <c r="D39" s="4">
        <v>45971</v>
      </c>
      <c r="E39" s="4" t="s">
        <v>47</v>
      </c>
      <c r="F39" s="95">
        <v>304800.75</v>
      </c>
      <c r="G39" s="1">
        <v>2</v>
      </c>
      <c r="H39" s="95">
        <f>+Table4[[#This Row],[Cena (RSD)]]*Table4[[#This Row],[Količina]]</f>
        <v>609601.5</v>
      </c>
      <c r="I39" s="94" t="str">
        <f>+IF(Table4[[#This Row],[Način plaćanja]]="Gotovina","5%","nema bonusa")</f>
        <v>5%</v>
      </c>
      <c r="J39" s="120" t="str">
        <f>+IF(AND(Table4[[#This Row],[Prihod (RSD)]]&gt;600000,Table4[[#This Row],[Količina]]&gt;=3),H39*0.2,"")</f>
        <v/>
      </c>
      <c r="K39" s="96" t="str">
        <f>+IF(OR(Table4[[#This Row],[Prihod (RSD)]]&gt;500000,Table4[[#This Row],[Količina]]&gt;=5),"Premium","")</f>
        <v>Premium</v>
      </c>
      <c r="M39" s="99"/>
      <c r="N39" s="99"/>
      <c r="O39" s="99"/>
      <c r="P39" s="99"/>
      <c r="Q39" s="99"/>
      <c r="R39" s="99"/>
      <c r="S39" s="99"/>
      <c r="T39" s="99"/>
    </row>
    <row r="40" spans="2:20" x14ac:dyDescent="0.3">
      <c r="B40" s="8" t="s">
        <v>27</v>
      </c>
      <c r="C40" s="1" t="s">
        <v>388</v>
      </c>
      <c r="D40" s="4">
        <v>45979</v>
      </c>
      <c r="E40" s="4" t="s">
        <v>46</v>
      </c>
      <c r="F40" s="95">
        <v>263500.2</v>
      </c>
      <c r="G40" s="1">
        <v>1</v>
      </c>
      <c r="H40" s="95">
        <f>+Table4[[#This Row],[Cena (RSD)]]*Table4[[#This Row],[Količina]]</f>
        <v>263500.2</v>
      </c>
      <c r="I40" s="94" t="str">
        <f>+IF(Table4[[#This Row],[Način plaćanja]]="Gotovina","5%","nema bonusa")</f>
        <v>nema bonusa</v>
      </c>
      <c r="J40" s="120" t="str">
        <f>+IF(AND(Table4[[#This Row],[Prihod (RSD)]]&gt;600000,Table4[[#This Row],[Količina]]&gt;=3),H40*0.2,"")</f>
        <v/>
      </c>
      <c r="K40" s="96" t="str">
        <f>+IF(OR(Table4[[#This Row],[Prihod (RSD)]]&gt;500000,Table4[[#This Row],[Količina]]&gt;=5),"Premium","")</f>
        <v/>
      </c>
      <c r="M40" s="99"/>
      <c r="N40" s="99"/>
      <c r="O40" s="99"/>
      <c r="P40" s="99"/>
      <c r="Q40" s="99"/>
      <c r="R40" s="99"/>
      <c r="S40" s="99"/>
      <c r="T40" s="99"/>
    </row>
    <row r="41" spans="2:20" x14ac:dyDescent="0.3">
      <c r="B41" s="8" t="s">
        <v>27</v>
      </c>
      <c r="C41" s="1" t="s">
        <v>398</v>
      </c>
      <c r="D41" s="4">
        <v>45984</v>
      </c>
      <c r="E41" s="4" t="s">
        <v>46</v>
      </c>
      <c r="F41" s="95">
        <v>498900.95</v>
      </c>
      <c r="G41" s="1">
        <v>2</v>
      </c>
      <c r="H41" s="95">
        <f>+Table4[[#This Row],[Cena (RSD)]]*Table4[[#This Row],[Količina]]</f>
        <v>997801.9</v>
      </c>
      <c r="I41" s="94" t="str">
        <f>+IF(Table4[[#This Row],[Način plaćanja]]="Gotovina","5%","nema bonusa")</f>
        <v>nema bonusa</v>
      </c>
      <c r="J41" s="120" t="str">
        <f>+IF(AND(Table4[[#This Row],[Prihod (RSD)]]&gt;600000,Table4[[#This Row],[Količina]]&gt;=3),H41*0.2,"")</f>
        <v/>
      </c>
      <c r="K41" s="96" t="str">
        <f>+IF(OR(Table4[[#This Row],[Prihod (RSD)]]&gt;500000,Table4[[#This Row],[Količina]]&gt;=5),"Premium","")</f>
        <v>Premium</v>
      </c>
      <c r="M41" s="99"/>
      <c r="N41" s="99"/>
      <c r="O41" s="99"/>
      <c r="P41" s="99"/>
      <c r="Q41" s="99"/>
      <c r="R41" s="99"/>
      <c r="S41" s="99"/>
      <c r="T41" s="99"/>
    </row>
    <row r="42" spans="2:20" x14ac:dyDescent="0.3">
      <c r="B42" s="8" t="s">
        <v>27</v>
      </c>
      <c r="C42" s="1" t="s">
        <v>393</v>
      </c>
      <c r="D42" s="4">
        <v>45988</v>
      </c>
      <c r="E42" s="4" t="s">
        <v>47</v>
      </c>
      <c r="F42" s="95">
        <v>291200.40000000002</v>
      </c>
      <c r="G42" s="1">
        <v>3</v>
      </c>
      <c r="H42" s="95">
        <f>+Table4[[#This Row],[Cena (RSD)]]*Table4[[#This Row],[Količina]]</f>
        <v>873601.20000000007</v>
      </c>
      <c r="I42" s="94" t="str">
        <f>+IF(Table4[[#This Row],[Način plaćanja]]="Gotovina","5%","nema bonusa")</f>
        <v>5%</v>
      </c>
      <c r="J42" s="120">
        <f>+IF(AND(Table4[[#This Row],[Prihod (RSD)]]&gt;600000,Table4[[#This Row],[Količina]]&gt;=3),H42*0.2,"")</f>
        <v>174720.24000000002</v>
      </c>
      <c r="K42" s="96" t="str">
        <f>+IF(OR(Table4[[#This Row],[Prihod (RSD)]]&gt;500000,Table4[[#This Row],[Količina]]&gt;=5),"Premium","")</f>
        <v>Premium</v>
      </c>
      <c r="M42" s="99"/>
      <c r="N42" s="99"/>
      <c r="O42" s="99"/>
      <c r="P42" s="99"/>
      <c r="Q42" s="99"/>
      <c r="R42" s="99"/>
      <c r="S42" s="99"/>
      <c r="T42" s="99"/>
    </row>
    <row r="43" spans="2:20" x14ac:dyDescent="0.3">
      <c r="B43" s="8" t="s">
        <v>12</v>
      </c>
      <c r="C43" s="1" t="s">
        <v>397</v>
      </c>
      <c r="D43" s="4">
        <v>45972</v>
      </c>
      <c r="E43" s="4" t="s">
        <v>46</v>
      </c>
      <c r="F43" s="95">
        <v>147300.15</v>
      </c>
      <c r="G43" s="1">
        <v>2</v>
      </c>
      <c r="H43" s="95">
        <f>+Table4[[#This Row],[Cena (RSD)]]*Table4[[#This Row],[Količina]]</f>
        <v>294600.3</v>
      </c>
      <c r="I43" s="94" t="str">
        <f>+IF(Table4[[#This Row],[Način plaćanja]]="Gotovina","5%","nema bonusa")</f>
        <v>nema bonusa</v>
      </c>
      <c r="J43" s="120" t="str">
        <f>+IF(AND(Table4[[#This Row],[Prihod (RSD)]]&gt;600000,Table4[[#This Row],[Količina]]&gt;=3),H43*0.2,"")</f>
        <v/>
      </c>
      <c r="K43" s="96" t="str">
        <f>+IF(OR(Table4[[#This Row],[Prihod (RSD)]]&gt;500000,Table4[[#This Row],[Količina]]&gt;=5),"Premium","")</f>
        <v/>
      </c>
      <c r="M43" s="99"/>
      <c r="N43" s="99"/>
      <c r="O43" s="99"/>
      <c r="P43" s="99"/>
      <c r="Q43" s="99"/>
      <c r="R43" s="99"/>
      <c r="S43" s="99"/>
      <c r="T43" s="99"/>
    </row>
    <row r="44" spans="2:20" x14ac:dyDescent="0.3">
      <c r="B44" s="8" t="s">
        <v>12</v>
      </c>
      <c r="C44" s="1" t="s">
        <v>395</v>
      </c>
      <c r="D44" s="4">
        <v>45975</v>
      </c>
      <c r="E44" s="4" t="s">
        <v>46</v>
      </c>
      <c r="F44" s="95">
        <v>158200.29999999999</v>
      </c>
      <c r="G44" s="1">
        <v>2</v>
      </c>
      <c r="H44" s="95">
        <f>+Table4[[#This Row],[Cena (RSD)]]*Table4[[#This Row],[Količina]]</f>
        <v>316400.59999999998</v>
      </c>
      <c r="I44" s="94" t="str">
        <f>+IF(Table4[[#This Row],[Način plaćanja]]="Gotovina","5%","nema bonusa")</f>
        <v>nema bonusa</v>
      </c>
      <c r="J44" s="120" t="str">
        <f>+IF(AND(Table4[[#This Row],[Prihod (RSD)]]&gt;600000,Table4[[#This Row],[Količina]]&gt;=3),H44*0.2,"")</f>
        <v/>
      </c>
      <c r="K44" s="96" t="str">
        <f>+IF(OR(Table4[[#This Row],[Prihod (RSD)]]&gt;500000,Table4[[#This Row],[Količina]]&gt;=5),"Premium","")</f>
        <v/>
      </c>
      <c r="M44" s="99"/>
      <c r="N44" s="99"/>
      <c r="O44" s="99"/>
      <c r="P44" s="99"/>
      <c r="Q44" s="99"/>
      <c r="R44" s="99"/>
      <c r="S44" s="99"/>
      <c r="T44" s="99"/>
    </row>
    <row r="45" spans="2:20" x14ac:dyDescent="0.3">
      <c r="B45" s="8" t="s">
        <v>12</v>
      </c>
      <c r="C45" s="1" t="s">
        <v>396</v>
      </c>
      <c r="D45" s="4">
        <v>45981</v>
      </c>
      <c r="E45" s="4" t="s">
        <v>47</v>
      </c>
      <c r="F45" s="95">
        <v>214500.8</v>
      </c>
      <c r="G45" s="1">
        <v>1</v>
      </c>
      <c r="H45" s="95">
        <f>+Table4[[#This Row],[Cena (RSD)]]*Table4[[#This Row],[Količina]]</f>
        <v>214500.8</v>
      </c>
      <c r="I45" s="94" t="str">
        <f>+IF(Table4[[#This Row],[Način plaćanja]]="Gotovina","5%","nema bonusa")</f>
        <v>5%</v>
      </c>
      <c r="J45" s="120" t="str">
        <f>+IF(AND(Table4[[#This Row],[Prihod (RSD)]]&gt;600000,Table4[[#This Row],[Količina]]&gt;=3),H45*0.2,"")</f>
        <v/>
      </c>
      <c r="K45" s="96" t="str">
        <f>+IF(OR(Table4[[#This Row],[Prihod (RSD)]]&gt;500000,Table4[[#This Row],[Količina]]&gt;=5),"Premium","")</f>
        <v/>
      </c>
      <c r="M45" s="99"/>
      <c r="N45" s="99"/>
      <c r="O45" s="99"/>
      <c r="P45" s="99"/>
      <c r="Q45" s="99"/>
      <c r="R45" s="99"/>
      <c r="S45" s="99"/>
      <c r="T45" s="99"/>
    </row>
    <row r="46" spans="2:20" x14ac:dyDescent="0.3">
      <c r="B46" s="8" t="s">
        <v>12</v>
      </c>
      <c r="C46" s="1" t="s">
        <v>388</v>
      </c>
      <c r="D46" s="4">
        <v>45989</v>
      </c>
      <c r="E46" s="4" t="s">
        <v>46</v>
      </c>
      <c r="F46" s="95">
        <v>251800.55</v>
      </c>
      <c r="G46" s="1">
        <v>3</v>
      </c>
      <c r="H46" s="95">
        <f>+Table4[[#This Row],[Cena (RSD)]]*Table4[[#This Row],[Količina]]</f>
        <v>755401.64999999991</v>
      </c>
      <c r="I46" s="94" t="str">
        <f>+IF(Table4[[#This Row],[Način plaćanja]]="Gotovina","5%","nema bonusa")</f>
        <v>nema bonusa</v>
      </c>
      <c r="J46" s="120">
        <f>+IF(AND(Table4[[#This Row],[Prihod (RSD)]]&gt;600000,Table4[[#This Row],[Količina]]&gt;=3),H46*0.2,"")</f>
        <v>151080.32999999999</v>
      </c>
      <c r="K46" s="96" t="str">
        <f>+IF(OR(Table4[[#This Row],[Prihod (RSD)]]&gt;500000,Table4[[#This Row],[Količina]]&gt;=5),"Premium","")</f>
        <v>Premium</v>
      </c>
      <c r="M46" s="99"/>
      <c r="N46" s="99"/>
      <c r="O46" s="99"/>
      <c r="P46" s="99"/>
      <c r="Q46" s="99"/>
      <c r="R46" s="99"/>
      <c r="S46" s="99"/>
      <c r="T46" s="99"/>
    </row>
    <row r="47" spans="2:20" x14ac:dyDescent="0.3">
      <c r="B47" s="8" t="s">
        <v>16</v>
      </c>
      <c r="C47" s="1" t="s">
        <v>393</v>
      </c>
      <c r="D47" s="4">
        <v>45973</v>
      </c>
      <c r="E47" s="4" t="s">
        <v>46</v>
      </c>
      <c r="F47" s="95">
        <v>293400.40000000002</v>
      </c>
      <c r="G47" s="1">
        <v>2</v>
      </c>
      <c r="H47" s="95">
        <f>+Table4[[#This Row],[Cena (RSD)]]*Table4[[#This Row],[Količina]]</f>
        <v>586800.80000000005</v>
      </c>
      <c r="I47" s="94" t="str">
        <f>+IF(Table4[[#This Row],[Način plaćanja]]="Gotovina","5%","nema bonusa")</f>
        <v>nema bonusa</v>
      </c>
      <c r="J47" s="120" t="str">
        <f>+IF(AND(Table4[[#This Row],[Prihod (RSD)]]&gt;600000,Table4[[#This Row],[Količina]]&gt;=3),H47*0.2,"")</f>
        <v/>
      </c>
      <c r="K47" s="96" t="str">
        <f>+IF(OR(Table4[[#This Row],[Prihod (RSD)]]&gt;500000,Table4[[#This Row],[Količina]]&gt;=5),"Premium","")</f>
        <v>Premium</v>
      </c>
      <c r="M47" s="99"/>
      <c r="N47" s="99"/>
      <c r="O47" s="99"/>
      <c r="P47" s="99"/>
      <c r="Q47" s="99"/>
      <c r="R47" s="99"/>
      <c r="S47" s="99"/>
      <c r="T47" s="99"/>
    </row>
    <row r="48" spans="2:20" x14ac:dyDescent="0.3">
      <c r="B48" s="8" t="s">
        <v>13</v>
      </c>
      <c r="C48" s="1" t="s">
        <v>390</v>
      </c>
      <c r="D48" s="4">
        <v>45977</v>
      </c>
      <c r="E48" s="4" t="s">
        <v>47</v>
      </c>
      <c r="F48" s="95">
        <v>336500.75</v>
      </c>
      <c r="G48" s="1">
        <v>1</v>
      </c>
      <c r="H48" s="95">
        <f>+Table4[[#This Row],[Cena (RSD)]]*Table4[[#This Row],[Količina]]</f>
        <v>336500.75</v>
      </c>
      <c r="I48" s="94" t="str">
        <f>+IF(Table4[[#This Row],[Način plaćanja]]="Gotovina","5%","nema bonusa")</f>
        <v>5%</v>
      </c>
      <c r="J48" s="120" t="str">
        <f>+IF(AND(Table4[[#This Row],[Prihod (RSD)]]&gt;600000,Table4[[#This Row],[Količina]]&gt;=3),H48*0.2,"")</f>
        <v/>
      </c>
      <c r="K48" s="96" t="str">
        <f>+IF(OR(Table4[[#This Row],[Prihod (RSD)]]&gt;500000,Table4[[#This Row],[Količina]]&gt;=5),"Premium","")</f>
        <v/>
      </c>
      <c r="M48" s="99"/>
      <c r="N48" s="99"/>
      <c r="O48" s="99"/>
      <c r="P48" s="99"/>
      <c r="Q48" s="99"/>
      <c r="R48" s="99"/>
      <c r="S48" s="99"/>
      <c r="T48" s="99"/>
    </row>
    <row r="49" spans="2:20" x14ac:dyDescent="0.3">
      <c r="B49" s="8" t="s">
        <v>28</v>
      </c>
      <c r="C49" s="1" t="s">
        <v>391</v>
      </c>
      <c r="D49" s="4">
        <v>45983</v>
      </c>
      <c r="E49" s="4" t="s">
        <v>47</v>
      </c>
      <c r="F49" s="95">
        <v>308200.59999999998</v>
      </c>
      <c r="G49" s="1">
        <v>2</v>
      </c>
      <c r="H49" s="95">
        <f>+Table4[[#This Row],[Cena (RSD)]]*Table4[[#This Row],[Količina]]</f>
        <v>616401.19999999995</v>
      </c>
      <c r="I49" s="94" t="str">
        <f>+IF(Table4[[#This Row],[Način plaćanja]]="Gotovina","5%","nema bonusa")</f>
        <v>5%</v>
      </c>
      <c r="J49" s="120" t="str">
        <f>+IF(AND(Table4[[#This Row],[Prihod (RSD)]]&gt;600000,Table4[[#This Row],[Količina]]&gt;=3),H49*0.2,"")</f>
        <v/>
      </c>
      <c r="K49" s="96" t="str">
        <f>+IF(OR(Table4[[#This Row],[Prihod (RSD)]]&gt;500000,Table4[[#This Row],[Količina]]&gt;=5),"Premium","")</f>
        <v>Premium</v>
      </c>
      <c r="M49" s="99"/>
      <c r="N49" s="99"/>
      <c r="O49" s="99"/>
      <c r="P49" s="99"/>
      <c r="Q49" s="99"/>
      <c r="R49" s="99"/>
      <c r="S49" s="99"/>
      <c r="T49" s="99"/>
    </row>
    <row r="50" spans="2:20" x14ac:dyDescent="0.3">
      <c r="B50" s="8" t="s">
        <v>11</v>
      </c>
      <c r="C50" s="1" t="s">
        <v>394</v>
      </c>
      <c r="D50" s="4">
        <v>45986</v>
      </c>
      <c r="E50" s="4" t="s">
        <v>46</v>
      </c>
      <c r="F50" s="95">
        <v>459800.9</v>
      </c>
      <c r="G50" s="1">
        <v>3</v>
      </c>
      <c r="H50" s="95">
        <f>+Table4[[#This Row],[Cena (RSD)]]*Table4[[#This Row],[Količina]]</f>
        <v>1379402.7000000002</v>
      </c>
      <c r="I50" s="94" t="str">
        <f>+IF(Table4[[#This Row],[Način plaćanja]]="Gotovina","5%","nema bonusa")</f>
        <v>nema bonusa</v>
      </c>
      <c r="J50" s="120">
        <f>+IF(AND(Table4[[#This Row],[Prihod (RSD)]]&gt;600000,Table4[[#This Row],[Količina]]&gt;=3),H50*0.2,"")</f>
        <v>275880.54000000004</v>
      </c>
      <c r="K50" s="96" t="str">
        <f>+IF(OR(Table4[[#This Row],[Prihod (RSD)]]&gt;500000,Table4[[#This Row],[Količina]]&gt;=5),"Premium","")</f>
        <v>Premium</v>
      </c>
      <c r="M50" s="99"/>
      <c r="N50" s="99"/>
      <c r="O50" s="99"/>
      <c r="P50" s="99"/>
      <c r="Q50" s="99"/>
      <c r="R50" s="99"/>
      <c r="S50" s="99"/>
      <c r="T50" s="99"/>
    </row>
    <row r="51" spans="2:20" x14ac:dyDescent="0.3">
      <c r="B51" s="8" t="s">
        <v>14</v>
      </c>
      <c r="C51" s="1" t="s">
        <v>399</v>
      </c>
      <c r="D51" s="4">
        <v>45987</v>
      </c>
      <c r="E51" s="4" t="s">
        <v>46</v>
      </c>
      <c r="F51" s="95">
        <v>306700.45</v>
      </c>
      <c r="G51" s="1">
        <v>2</v>
      </c>
      <c r="H51" s="95">
        <f>+Table4[[#This Row],[Cena (RSD)]]*Table4[[#This Row],[Količina]]</f>
        <v>613400.9</v>
      </c>
      <c r="I51" s="94" t="str">
        <f>+IF(Table4[[#This Row],[Način plaćanja]]="Gotovina","5%","nema bonusa")</f>
        <v>nema bonusa</v>
      </c>
      <c r="J51" s="120" t="str">
        <f>+IF(AND(Table4[[#This Row],[Prihod (RSD)]]&gt;600000,Table4[[#This Row],[Količina]]&gt;=3),H51*0.2,"")</f>
        <v/>
      </c>
      <c r="K51" s="96" t="str">
        <f>+IF(OR(Table4[[#This Row],[Prihod (RSD)]]&gt;500000,Table4[[#This Row],[Količina]]&gt;=5),"Premium","")</f>
        <v>Premium</v>
      </c>
      <c r="M51" s="99"/>
      <c r="N51" s="99"/>
      <c r="O51" s="99"/>
      <c r="P51" s="99"/>
      <c r="Q51" s="99"/>
      <c r="R51" s="99"/>
      <c r="S51" s="99"/>
      <c r="T51" s="99"/>
    </row>
    <row r="52" spans="2:20" x14ac:dyDescent="0.3">
      <c r="B52" s="8" t="s">
        <v>25</v>
      </c>
      <c r="C52" s="1" t="s">
        <v>388</v>
      </c>
      <c r="D52" s="4">
        <v>45988</v>
      </c>
      <c r="E52" s="4" t="s">
        <v>47</v>
      </c>
      <c r="F52" s="95">
        <v>257900.2</v>
      </c>
      <c r="G52" s="1">
        <v>1</v>
      </c>
      <c r="H52" s="95">
        <f>+Table4[[#This Row],[Cena (RSD)]]*Table4[[#This Row],[Količina]]</f>
        <v>257900.2</v>
      </c>
      <c r="I52" s="94" t="str">
        <f>+IF(Table4[[#This Row],[Način plaćanja]]="Gotovina","5%","nema bonusa")</f>
        <v>5%</v>
      </c>
      <c r="J52" s="120" t="str">
        <f>+IF(AND(Table4[[#This Row],[Prihod (RSD)]]&gt;600000,Table4[[#This Row],[Količina]]&gt;=3),H52*0.2,"")</f>
        <v/>
      </c>
      <c r="K52" s="96" t="str">
        <f>+IF(OR(Table4[[#This Row],[Prihod (RSD)]]&gt;500000,Table4[[#This Row],[Količina]]&gt;=5),"Premium","")</f>
        <v/>
      </c>
      <c r="M52" s="99"/>
      <c r="N52" s="99"/>
      <c r="O52" s="99"/>
      <c r="P52" s="99"/>
      <c r="Q52" s="99"/>
      <c r="R52" s="99"/>
      <c r="S52" s="99"/>
      <c r="T52" s="99"/>
    </row>
    <row r="53" spans="2:20" x14ac:dyDescent="0.3">
      <c r="B53" s="8" t="s">
        <v>18</v>
      </c>
      <c r="C53" s="1" t="s">
        <v>389</v>
      </c>
      <c r="D53" s="4">
        <v>45989</v>
      </c>
      <c r="E53" s="4" t="s">
        <v>47</v>
      </c>
      <c r="F53" s="95">
        <v>183400.35</v>
      </c>
      <c r="G53" s="1">
        <v>6</v>
      </c>
      <c r="H53" s="95">
        <f>+Table4[[#This Row],[Cena (RSD)]]*Table4[[#This Row],[Količina]]</f>
        <v>1100402.1000000001</v>
      </c>
      <c r="I53" s="94" t="str">
        <f>+IF(Table4[[#This Row],[Način plaćanja]]="Gotovina","5%","nema bonusa")</f>
        <v>5%</v>
      </c>
      <c r="J53" s="120">
        <f>+IF(AND(Table4[[#This Row],[Prihod (RSD)]]&gt;600000,Table4[[#This Row],[Količina]]&gt;=3),H53*0.2,"")</f>
        <v>220080.42000000004</v>
      </c>
      <c r="K53" s="96" t="str">
        <f>+IF(OR(Table4[[#This Row],[Prihod (RSD)]]&gt;500000,Table4[[#This Row],[Količina]]&gt;=5),"Premium","")</f>
        <v>Premium</v>
      </c>
      <c r="M53" s="99"/>
      <c r="N53" s="99"/>
      <c r="O53" s="99"/>
      <c r="P53" s="99"/>
      <c r="Q53" s="99"/>
      <c r="R53" s="99"/>
      <c r="S53" s="99"/>
      <c r="T53" s="99"/>
    </row>
    <row r="54" spans="2:20" x14ac:dyDescent="0.3">
      <c r="B54" s="8" t="s">
        <v>27</v>
      </c>
      <c r="C54" s="1" t="s">
        <v>391</v>
      </c>
      <c r="D54" s="4">
        <v>45990</v>
      </c>
      <c r="E54" s="4" t="s">
        <v>46</v>
      </c>
      <c r="F54" s="95">
        <v>312800.5</v>
      </c>
      <c r="G54" s="1">
        <v>1</v>
      </c>
      <c r="H54" s="95">
        <f>+Table4[[#This Row],[Cena (RSD)]]*Table4[[#This Row],[Količina]]</f>
        <v>312800.5</v>
      </c>
      <c r="I54" s="94" t="str">
        <f>+IF(Table4[[#This Row],[Način plaćanja]]="Gotovina","5%","nema bonusa")</f>
        <v>nema bonusa</v>
      </c>
      <c r="J54" s="120" t="str">
        <f>+IF(AND(Table4[[#This Row],[Prihod (RSD)]]&gt;600000,Table4[[#This Row],[Količina]]&gt;=3),H54*0.2,"")</f>
        <v/>
      </c>
      <c r="K54" s="96" t="str">
        <f>+IF(OR(Table4[[#This Row],[Prihod (RSD)]]&gt;500000,Table4[[#This Row],[Količina]]&gt;=5),"Premium","")</f>
        <v/>
      </c>
      <c r="M54" s="99"/>
      <c r="N54" s="99"/>
      <c r="O54" s="99"/>
      <c r="P54" s="99"/>
      <c r="Q54" s="99"/>
      <c r="R54" s="99"/>
      <c r="S54" s="99"/>
      <c r="T54" s="99"/>
    </row>
    <row r="55" spans="2:20" x14ac:dyDescent="0.3">
      <c r="B55" s="10" t="s">
        <v>12</v>
      </c>
      <c r="C55" s="21" t="s">
        <v>393</v>
      </c>
      <c r="D55" s="92">
        <v>45991</v>
      </c>
      <c r="E55" s="4" t="s">
        <v>46</v>
      </c>
      <c r="F55" s="95">
        <v>290500.75</v>
      </c>
      <c r="G55" s="1">
        <v>2</v>
      </c>
      <c r="H55" s="95">
        <f>+Table4[[#This Row],[Cena (RSD)]]*Table4[[#This Row],[Količina]]</f>
        <v>581001.5</v>
      </c>
      <c r="I55" s="94" t="str">
        <f>+IF(Table4[[#This Row],[Način plaćanja]]="Gotovina","5%","nema bonusa")</f>
        <v>nema bonusa</v>
      </c>
      <c r="J55" s="120" t="str">
        <f>+IF(AND(Table4[[#This Row],[Prihod (RSD)]]&gt;600000,Table4[[#This Row],[Količina]]&gt;=3),H55*0.2,"")</f>
        <v/>
      </c>
      <c r="K55" s="96" t="str">
        <f>+IF(OR(Table4[[#This Row],[Prihod (RSD)]]&gt;500000,Table4[[#This Row],[Količina]]&gt;=5),"Premium","")</f>
        <v>Premium</v>
      </c>
      <c r="M55" s="99"/>
      <c r="N55" s="99"/>
      <c r="O55" s="99"/>
      <c r="P55" s="99"/>
      <c r="Q55" s="99"/>
      <c r="R55" s="99"/>
      <c r="S55" s="99"/>
      <c r="T55" s="99"/>
    </row>
  </sheetData>
  <mergeCells count="3">
    <mergeCell ref="M15:T18"/>
    <mergeCell ref="M21:T24"/>
    <mergeCell ref="M11:T1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AA0DF-312D-4C9D-84F2-6BE9A8D40E07}">
  <sheetPr>
    <tabColor rgb="FF68D290"/>
  </sheetPr>
  <dimension ref="B1:L52"/>
  <sheetViews>
    <sheetView showGridLines="0" zoomScaleNormal="100" workbookViewId="0"/>
  </sheetViews>
  <sheetFormatPr defaultRowHeight="14.4" x14ac:dyDescent="0.3"/>
  <cols>
    <col min="1" max="1" width="8.88671875" style="99"/>
    <col min="2" max="2" width="8.6640625" style="99" customWidth="1"/>
    <col min="3" max="3" width="16.6640625" style="99" bestFit="1" customWidth="1"/>
    <col min="4" max="4" width="21" style="99" bestFit="1" customWidth="1"/>
    <col min="5" max="5" width="24.5546875" style="99" customWidth="1"/>
    <col min="6" max="6" width="14.21875" style="99" customWidth="1"/>
    <col min="7" max="7" width="13.88671875" style="99" customWidth="1"/>
    <col min="8" max="8" width="14.77734375" style="99" customWidth="1"/>
    <col min="9" max="9" width="15.44140625" style="99" customWidth="1"/>
    <col min="10" max="10" width="23.33203125" style="99" customWidth="1"/>
    <col min="11" max="11" width="20.77734375" style="99" customWidth="1"/>
    <col min="12" max="12" width="10.5546875" style="99" customWidth="1"/>
    <col min="13" max="13" width="16.6640625" style="99" bestFit="1" customWidth="1"/>
    <col min="14" max="16384" width="8.88671875" style="99"/>
  </cols>
  <sheetData>
    <row r="1" spans="2:12" ht="22.2" customHeight="1" thickBot="1" x14ac:dyDescent="0.35">
      <c r="B1" s="105" t="s">
        <v>419</v>
      </c>
      <c r="C1" s="105"/>
      <c r="D1" s="105"/>
      <c r="E1" s="105"/>
      <c r="F1" s="105"/>
      <c r="G1" s="105"/>
      <c r="H1" s="105"/>
      <c r="I1" s="105"/>
      <c r="J1" s="105"/>
      <c r="K1" s="105"/>
      <c r="L1" s="117"/>
    </row>
    <row r="2" spans="2:12" ht="22.2" customHeight="1" thickTop="1" x14ac:dyDescent="0.3"/>
    <row r="3" spans="2:12" ht="22.2" customHeight="1" x14ac:dyDescent="0.3"/>
    <row r="4" spans="2:12" ht="22.2" customHeight="1" x14ac:dyDescent="0.3"/>
    <row r="5" spans="2:12" ht="22.2" customHeight="1" x14ac:dyDescent="0.3"/>
    <row r="6" spans="2:12" ht="22.2" customHeight="1" x14ac:dyDescent="0.3"/>
    <row r="7" spans="2:12" ht="22.2" customHeight="1" x14ac:dyDescent="0.3"/>
    <row r="8" spans="2:12" ht="22.2" customHeight="1" x14ac:dyDescent="0.3"/>
    <row r="9" spans="2:12" ht="22.2" customHeight="1" x14ac:dyDescent="0.3"/>
    <row r="11" spans="2:12" ht="43.2" x14ac:dyDescent="0.3">
      <c r="B11" s="113" t="s">
        <v>48</v>
      </c>
      <c r="C11" s="114" t="s">
        <v>49</v>
      </c>
      <c r="D11" s="114" t="s">
        <v>50</v>
      </c>
      <c r="E11" s="114" t="s">
        <v>51</v>
      </c>
      <c r="F11" s="114" t="s">
        <v>52</v>
      </c>
      <c r="G11" s="115" t="s">
        <v>420</v>
      </c>
      <c r="H11" s="114" t="s">
        <v>421</v>
      </c>
      <c r="J11" s="116" t="s">
        <v>50</v>
      </c>
      <c r="K11" s="116" t="s">
        <v>139</v>
      </c>
    </row>
    <row r="12" spans="2:12" x14ac:dyDescent="0.3">
      <c r="B12" s="107">
        <v>1001</v>
      </c>
      <c r="C12" s="108" t="s">
        <v>53</v>
      </c>
      <c r="D12" s="108" t="s">
        <v>54</v>
      </c>
      <c r="E12" s="108" t="s">
        <v>55</v>
      </c>
      <c r="F12" s="109">
        <v>43536</v>
      </c>
      <c r="G12" s="118" t="str">
        <f>+VLOOKUP(Table5[[#This Row],[Naziv odeljenja]],$J$11:$K$17,2,FALSE)</f>
        <v>Ana Petrović</v>
      </c>
      <c r="H12" s="119" t="str">
        <f>+_xlfn.XLOOKUP(Table5[[#This Row],[Naziv odeljenja]],$J$12:$J$17,$K$12:$K$17,"",0)</f>
        <v>Ana Petrović</v>
      </c>
      <c r="J12" s="108" t="s">
        <v>54</v>
      </c>
      <c r="K12" s="108" t="s">
        <v>140</v>
      </c>
    </row>
    <row r="13" spans="2:12" x14ac:dyDescent="0.3">
      <c r="B13" s="107">
        <v>1002</v>
      </c>
      <c r="C13" s="108" t="s">
        <v>56</v>
      </c>
      <c r="D13" s="108" t="s">
        <v>57</v>
      </c>
      <c r="E13" s="108" t="s">
        <v>58</v>
      </c>
      <c r="F13" s="109">
        <v>44017</v>
      </c>
      <c r="G13" s="118" t="str">
        <f>+VLOOKUP(Table5[[#This Row],[Naziv odeljenja]],$J$11:$K$17,2,FALSE)</f>
        <v>Marko Jovanović</v>
      </c>
      <c r="H13" s="119" t="str">
        <f>+_xlfn.XLOOKUP(Table5[[#This Row],[Naziv odeljenja]],$J$12:$J$17,$K$12:$K$17,"",0)</f>
        <v>Marko Jovanović</v>
      </c>
      <c r="J13" s="108" t="s">
        <v>57</v>
      </c>
      <c r="K13" s="108" t="s">
        <v>141</v>
      </c>
    </row>
    <row r="14" spans="2:12" x14ac:dyDescent="0.3">
      <c r="B14" s="107">
        <v>1003</v>
      </c>
      <c r="C14" s="108" t="s">
        <v>59</v>
      </c>
      <c r="D14" s="108" t="s">
        <v>60</v>
      </c>
      <c r="E14" s="108" t="s">
        <v>61</v>
      </c>
      <c r="F14" s="109">
        <v>43121</v>
      </c>
      <c r="G14" s="118" t="str">
        <f>+VLOOKUP(Table5[[#This Row],[Naziv odeljenja]],$J$11:$K$17,2,FALSE)</f>
        <v>Jelena Ilić</v>
      </c>
      <c r="H14" s="119" t="str">
        <f>+_xlfn.XLOOKUP(Table5[[#This Row],[Naziv odeljenja]],$J$12:$J$17,$K$12:$K$17,"",0)</f>
        <v>Jelena Ilić</v>
      </c>
      <c r="J14" s="108" t="s">
        <v>60</v>
      </c>
      <c r="K14" s="108" t="s">
        <v>142</v>
      </c>
    </row>
    <row r="15" spans="2:12" x14ac:dyDescent="0.3">
      <c r="B15" s="107">
        <v>1004</v>
      </c>
      <c r="C15" s="108" t="s">
        <v>62</v>
      </c>
      <c r="D15" s="108" t="s">
        <v>63</v>
      </c>
      <c r="E15" s="108" t="s">
        <v>64</v>
      </c>
      <c r="F15" s="109">
        <v>44449</v>
      </c>
      <c r="G15" s="118" t="str">
        <f>+VLOOKUP(Table5[[#This Row],[Naziv odeljenja]],$J$11:$K$17,2,FALSE)</f>
        <v>Nikola Nikolić</v>
      </c>
      <c r="H15" s="119" t="str">
        <f>+_xlfn.XLOOKUP(Table5[[#This Row],[Naziv odeljenja]],$J$12:$J$17,$K$12:$K$17,"",0)</f>
        <v>Nikola Nikolić</v>
      </c>
      <c r="J15" s="108" t="s">
        <v>63</v>
      </c>
      <c r="K15" s="108" t="s">
        <v>143</v>
      </c>
    </row>
    <row r="16" spans="2:12" x14ac:dyDescent="0.3">
      <c r="B16" s="107">
        <v>1005</v>
      </c>
      <c r="C16" s="108" t="s">
        <v>65</v>
      </c>
      <c r="D16" s="108" t="s">
        <v>60</v>
      </c>
      <c r="E16" s="108" t="s">
        <v>66</v>
      </c>
      <c r="F16" s="109">
        <v>45811</v>
      </c>
      <c r="G16" s="118" t="str">
        <f>+VLOOKUP(Table5[[#This Row],[Naziv odeljenja]],$J$11:$K$17,2,FALSE)</f>
        <v>Jelena Ilić</v>
      </c>
      <c r="H16" s="119" t="str">
        <f>+_xlfn.XLOOKUP(Table5[[#This Row],[Naziv odeljenja]],$J$12:$J$17,$K$12:$K$17,"",0)</f>
        <v>Jelena Ilić</v>
      </c>
      <c r="J16" s="108" t="s">
        <v>68</v>
      </c>
      <c r="K16" s="108" t="s">
        <v>144</v>
      </c>
    </row>
    <row r="17" spans="2:12" x14ac:dyDescent="0.3">
      <c r="B17" s="107">
        <v>1006</v>
      </c>
      <c r="C17" s="108" t="s">
        <v>67</v>
      </c>
      <c r="D17" s="108" t="s">
        <v>68</v>
      </c>
      <c r="E17" s="108" t="s">
        <v>69</v>
      </c>
      <c r="F17" s="109">
        <v>43936</v>
      </c>
      <c r="G17" s="118" t="str">
        <f>+VLOOKUP(Table5[[#This Row],[Naziv odeljenja]],$J$11:$K$17,2,FALSE)</f>
        <v>Milena Stojanov</v>
      </c>
      <c r="H17" s="119" t="str">
        <f>+_xlfn.XLOOKUP(Table5[[#This Row],[Naziv odeljenja]],$J$12:$J$17,$K$12:$K$17,"",0)</f>
        <v>Milena Stojanov</v>
      </c>
      <c r="J17" s="108" t="s">
        <v>71</v>
      </c>
      <c r="K17" s="108" t="s">
        <v>145</v>
      </c>
    </row>
    <row r="18" spans="2:12" x14ac:dyDescent="0.3">
      <c r="B18" s="107">
        <v>1007</v>
      </c>
      <c r="C18" s="108" t="s">
        <v>70</v>
      </c>
      <c r="D18" s="108" t="s">
        <v>71</v>
      </c>
      <c r="E18" s="108" t="s">
        <v>72</v>
      </c>
      <c r="F18" s="109">
        <v>43777</v>
      </c>
      <c r="G18" s="118" t="str">
        <f>+VLOOKUP(Table5[[#This Row],[Naziv odeljenja]],$J$11:$K$17,2,FALSE)</f>
        <v>Petar Kostić</v>
      </c>
      <c r="H18" s="119" t="str">
        <f>+_xlfn.XLOOKUP(Table5[[#This Row],[Naziv odeljenja]],$J$12:$J$17,$K$12:$K$17,"",0)</f>
        <v>Petar Kostić</v>
      </c>
    </row>
    <row r="19" spans="2:12" x14ac:dyDescent="0.3">
      <c r="B19" s="107">
        <v>1008</v>
      </c>
      <c r="C19" s="108" t="s">
        <v>73</v>
      </c>
      <c r="D19" s="108" t="s">
        <v>54</v>
      </c>
      <c r="E19" s="108" t="s">
        <v>74</v>
      </c>
      <c r="F19" s="109">
        <v>44246</v>
      </c>
      <c r="G19" s="118" t="str">
        <f>+VLOOKUP(Table5[[#This Row],[Naziv odeljenja]],$J$11:$K$17,2,FALSE)</f>
        <v>Ana Petrović</v>
      </c>
      <c r="H19" s="119" t="str">
        <f>+_xlfn.XLOOKUP(Table5[[#This Row],[Naziv odeljenja]],$J$12:$J$17,$K$12:$K$17,"",0)</f>
        <v>Ana Petrović</v>
      </c>
      <c r="J19" s="221" t="s">
        <v>422</v>
      </c>
      <c r="K19" s="221"/>
      <c r="L19" s="221"/>
    </row>
    <row r="20" spans="2:12" ht="14.4" customHeight="1" x14ac:dyDescent="0.3">
      <c r="B20" s="107">
        <v>1009</v>
      </c>
      <c r="C20" s="108" t="s">
        <v>75</v>
      </c>
      <c r="D20" s="108" t="s">
        <v>57</v>
      </c>
      <c r="E20" s="108" t="s">
        <v>76</v>
      </c>
      <c r="F20" s="109">
        <v>45531</v>
      </c>
      <c r="G20" s="118" t="str">
        <f>+VLOOKUP(Table5[[#This Row],[Naziv odeljenja]],$J$11:$K$17,2,FALSE)</f>
        <v>Marko Jovanović</v>
      </c>
      <c r="H20" s="119" t="str">
        <f>+_xlfn.XLOOKUP(Table5[[#This Row],[Naziv odeljenja]],$J$12:$J$17,$K$12:$K$17,"",0)</f>
        <v>Marko Jovanović</v>
      </c>
      <c r="J20" s="221"/>
      <c r="K20" s="221"/>
      <c r="L20" s="221"/>
    </row>
    <row r="21" spans="2:12" x14ac:dyDescent="0.3">
      <c r="B21" s="107">
        <v>1010</v>
      </c>
      <c r="C21" s="108" t="s">
        <v>77</v>
      </c>
      <c r="D21" s="108" t="s">
        <v>60</v>
      </c>
      <c r="E21" s="108" t="s">
        <v>78</v>
      </c>
      <c r="F21" s="109">
        <v>42869</v>
      </c>
      <c r="G21" s="118" t="str">
        <f>+VLOOKUP(Table5[[#This Row],[Naziv odeljenja]],$J$11:$K$17,2,FALSE)</f>
        <v>Jelena Ilić</v>
      </c>
      <c r="H21" s="119" t="str">
        <f>+_xlfn.XLOOKUP(Table5[[#This Row],[Naziv odeljenja]],$J$12:$J$17,$K$12:$K$17,"",0)</f>
        <v>Jelena Ilić</v>
      </c>
    </row>
    <row r="22" spans="2:12" x14ac:dyDescent="0.3">
      <c r="B22" s="107">
        <v>1011</v>
      </c>
      <c r="C22" s="108" t="s">
        <v>79</v>
      </c>
      <c r="D22" s="108" t="s">
        <v>63</v>
      </c>
      <c r="E22" s="108" t="s">
        <v>80</v>
      </c>
      <c r="F22" s="109">
        <v>43839</v>
      </c>
      <c r="G22" s="118" t="str">
        <f>+VLOOKUP(Table5[[#This Row],[Naziv odeljenja]],$J$11:$K$17,2,FALSE)</f>
        <v>Nikola Nikolić</v>
      </c>
      <c r="H22" s="119" t="str">
        <f>+_xlfn.XLOOKUP(Table5[[#This Row],[Naziv odeljenja]],$J$12:$J$17,$K$12:$K$17,"",0)</f>
        <v>Nikola Nikolić</v>
      </c>
    </row>
    <row r="23" spans="2:12" x14ac:dyDescent="0.3">
      <c r="B23" s="107">
        <v>1012</v>
      </c>
      <c r="C23" s="108" t="s">
        <v>81</v>
      </c>
      <c r="D23" s="108" t="s">
        <v>68</v>
      </c>
      <c r="E23" s="108" t="s">
        <v>82</v>
      </c>
      <c r="F23" s="109">
        <v>43181</v>
      </c>
      <c r="G23" s="118" t="str">
        <f>+VLOOKUP(Table5[[#This Row],[Naziv odeljenja]],$J$11:$K$17,2,FALSE)</f>
        <v>Milena Stojanov</v>
      </c>
      <c r="H23" s="119" t="str">
        <f>+_xlfn.XLOOKUP(Table5[[#This Row],[Naziv odeljenja]],$J$12:$J$17,$K$12:$K$17,"",0)</f>
        <v>Milena Stojanov</v>
      </c>
    </row>
    <row r="24" spans="2:12" x14ac:dyDescent="0.3">
      <c r="B24" s="107">
        <v>1013</v>
      </c>
      <c r="C24" s="108" t="s">
        <v>83</v>
      </c>
      <c r="D24" s="108" t="s">
        <v>71</v>
      </c>
      <c r="E24" s="108" t="s">
        <v>84</v>
      </c>
      <c r="F24" s="109">
        <v>44377</v>
      </c>
      <c r="G24" s="118" t="str">
        <f>+VLOOKUP(Table5[[#This Row],[Naziv odeljenja]],$J$11:$K$17,2,FALSE)</f>
        <v>Petar Kostić</v>
      </c>
      <c r="H24" s="119" t="str">
        <f>+_xlfn.XLOOKUP(Table5[[#This Row],[Naziv odeljenja]],$J$12:$J$17,$K$12:$K$17,"",0)</f>
        <v>Petar Kostić</v>
      </c>
    </row>
    <row r="25" spans="2:12" x14ac:dyDescent="0.3">
      <c r="B25" s="107">
        <v>1014</v>
      </c>
      <c r="C25" s="108" t="s">
        <v>85</v>
      </c>
      <c r="D25" s="108" t="s">
        <v>60</v>
      </c>
      <c r="E25" s="108" t="s">
        <v>86</v>
      </c>
      <c r="F25" s="109">
        <v>43810</v>
      </c>
      <c r="G25" s="118" t="str">
        <f>+VLOOKUP(Table5[[#This Row],[Naziv odeljenja]],$J$11:$K$17,2,FALSE)</f>
        <v>Jelena Ilić</v>
      </c>
      <c r="H25" s="119" t="str">
        <f>+_xlfn.XLOOKUP(Table5[[#This Row],[Naziv odeljenja]],$J$12:$J$17,$K$12:$K$17,"",0)</f>
        <v>Jelena Ilić</v>
      </c>
    </row>
    <row r="26" spans="2:12" x14ac:dyDescent="0.3">
      <c r="B26" s="107">
        <v>1015</v>
      </c>
      <c r="C26" s="108" t="s">
        <v>87</v>
      </c>
      <c r="D26" s="108" t="s">
        <v>54</v>
      </c>
      <c r="E26" s="108" t="s">
        <v>88</v>
      </c>
      <c r="F26" s="109">
        <v>44019</v>
      </c>
      <c r="G26" s="118" t="str">
        <f>+VLOOKUP(Table5[[#This Row],[Naziv odeljenja]],$J$11:$K$17,2,FALSE)</f>
        <v>Ana Petrović</v>
      </c>
      <c r="H26" s="119" t="str">
        <f>+_xlfn.XLOOKUP(Table5[[#This Row],[Naziv odeljenja]],$J$12:$J$17,$K$12:$K$17,"",0)</f>
        <v>Ana Petrović</v>
      </c>
    </row>
    <row r="27" spans="2:12" x14ac:dyDescent="0.3">
      <c r="B27" s="107">
        <v>1016</v>
      </c>
      <c r="C27" s="108" t="s">
        <v>89</v>
      </c>
      <c r="D27" s="108" t="s">
        <v>57</v>
      </c>
      <c r="E27" s="108" t="s">
        <v>90</v>
      </c>
      <c r="F27" s="109">
        <v>44487</v>
      </c>
      <c r="G27" s="118" t="str">
        <f>+VLOOKUP(Table5[[#This Row],[Naziv odeljenja]],$J$11:$K$17,2,FALSE)</f>
        <v>Marko Jovanović</v>
      </c>
      <c r="H27" s="119" t="str">
        <f>+_xlfn.XLOOKUP(Table5[[#This Row],[Naziv odeljenja]],$J$12:$J$17,$K$12:$K$17,"",0)</f>
        <v>Marko Jovanović</v>
      </c>
    </row>
    <row r="28" spans="2:12" x14ac:dyDescent="0.3">
      <c r="B28" s="107">
        <v>1017</v>
      </c>
      <c r="C28" s="108" t="s">
        <v>91</v>
      </c>
      <c r="D28" s="108" t="s">
        <v>60</v>
      </c>
      <c r="E28" s="108" t="s">
        <v>92</v>
      </c>
      <c r="F28" s="109">
        <v>44586</v>
      </c>
      <c r="G28" s="118" t="str">
        <f>+VLOOKUP(Table5[[#This Row],[Naziv odeljenja]],$J$11:$K$17,2,FALSE)</f>
        <v>Jelena Ilić</v>
      </c>
      <c r="H28" s="119" t="str">
        <f>+_xlfn.XLOOKUP(Table5[[#This Row],[Naziv odeljenja]],$J$12:$J$17,$K$12:$K$17,"",0)</f>
        <v>Jelena Ilić</v>
      </c>
    </row>
    <row r="29" spans="2:12" x14ac:dyDescent="0.3">
      <c r="B29" s="107">
        <v>1018</v>
      </c>
      <c r="C29" s="108" t="s">
        <v>93</v>
      </c>
      <c r="D29" s="108" t="s">
        <v>63</v>
      </c>
      <c r="E29" s="108" t="s">
        <v>94</v>
      </c>
      <c r="F29" s="109">
        <v>44087</v>
      </c>
      <c r="G29" s="118" t="str">
        <f>+VLOOKUP(Table5[[#This Row],[Naziv odeljenja]],$J$11:$K$17,2,FALSE)</f>
        <v>Nikola Nikolić</v>
      </c>
      <c r="H29" s="119" t="str">
        <f>+_xlfn.XLOOKUP(Table5[[#This Row],[Naziv odeljenja]],$J$12:$J$17,$K$12:$K$17,"",0)</f>
        <v>Nikola Nikolić</v>
      </c>
    </row>
    <row r="30" spans="2:12" x14ac:dyDescent="0.3">
      <c r="B30" s="107">
        <v>1019</v>
      </c>
      <c r="C30" s="108" t="s">
        <v>95</v>
      </c>
      <c r="D30" s="108" t="s">
        <v>68</v>
      </c>
      <c r="E30" s="108" t="s">
        <v>96</v>
      </c>
      <c r="F30" s="109">
        <v>43559</v>
      </c>
      <c r="G30" s="118" t="str">
        <f>+VLOOKUP(Table5[[#This Row],[Naziv odeljenja]],$J$11:$K$17,2,FALSE)</f>
        <v>Milena Stojanov</v>
      </c>
      <c r="H30" s="119" t="str">
        <f>+_xlfn.XLOOKUP(Table5[[#This Row],[Naziv odeljenja]],$J$12:$J$17,$K$12:$K$17,"",0)</f>
        <v>Milena Stojanov</v>
      </c>
    </row>
    <row r="31" spans="2:12" x14ac:dyDescent="0.3">
      <c r="B31" s="107">
        <v>1020</v>
      </c>
      <c r="C31" s="108" t="s">
        <v>97</v>
      </c>
      <c r="D31" s="108" t="s">
        <v>71</v>
      </c>
      <c r="E31" s="108" t="s">
        <v>98</v>
      </c>
      <c r="F31" s="109">
        <v>44710</v>
      </c>
      <c r="G31" s="118" t="str">
        <f>+VLOOKUP(Table5[[#This Row],[Naziv odeljenja]],$J$11:$K$17,2,FALSE)</f>
        <v>Petar Kostić</v>
      </c>
      <c r="H31" s="119" t="str">
        <f>+_xlfn.XLOOKUP(Table5[[#This Row],[Naziv odeljenja]],$J$12:$J$17,$K$12:$K$17,"",0)</f>
        <v>Petar Kostić</v>
      </c>
    </row>
    <row r="32" spans="2:12" x14ac:dyDescent="0.3">
      <c r="B32" s="107">
        <v>1021</v>
      </c>
      <c r="C32" s="108" t="s">
        <v>99</v>
      </c>
      <c r="D32" s="108" t="s">
        <v>54</v>
      </c>
      <c r="E32" s="108" t="s">
        <v>100</v>
      </c>
      <c r="F32" s="109">
        <v>43257</v>
      </c>
      <c r="G32" s="118" t="str">
        <f>+VLOOKUP(Table5[[#This Row],[Naziv odeljenja]],$J$11:$K$17,2,FALSE)</f>
        <v>Ana Petrović</v>
      </c>
      <c r="H32" s="119" t="str">
        <f>+_xlfn.XLOOKUP(Table5[[#This Row],[Naziv odeljenja]],$J$12:$J$17,$K$12:$K$17,"",0)</f>
        <v>Ana Petrović</v>
      </c>
    </row>
    <row r="33" spans="2:8" x14ac:dyDescent="0.3">
      <c r="B33" s="107">
        <v>1022</v>
      </c>
      <c r="C33" s="108" t="s">
        <v>101</v>
      </c>
      <c r="D33" s="108" t="s">
        <v>57</v>
      </c>
      <c r="E33" s="108" t="s">
        <v>102</v>
      </c>
      <c r="F33" s="109">
        <v>44272</v>
      </c>
      <c r="G33" s="118" t="str">
        <f>+VLOOKUP(Table5[[#This Row],[Naziv odeljenja]],$J$11:$K$17,2,FALSE)</f>
        <v>Marko Jovanović</v>
      </c>
      <c r="H33" s="119" t="str">
        <f>+_xlfn.XLOOKUP(Table5[[#This Row],[Naziv odeljenja]],$J$12:$J$17,$K$12:$K$17,"",0)</f>
        <v>Marko Jovanović</v>
      </c>
    </row>
    <row r="34" spans="2:8" x14ac:dyDescent="0.3">
      <c r="B34" s="107">
        <v>1023</v>
      </c>
      <c r="C34" s="108" t="s">
        <v>103</v>
      </c>
      <c r="D34" s="108" t="s">
        <v>60</v>
      </c>
      <c r="E34" s="108" t="s">
        <v>104</v>
      </c>
      <c r="F34" s="109">
        <v>43862</v>
      </c>
      <c r="G34" s="118" t="str">
        <f>+VLOOKUP(Table5[[#This Row],[Naziv odeljenja]],$J$11:$K$17,2,FALSE)</f>
        <v>Jelena Ilić</v>
      </c>
      <c r="H34" s="119" t="str">
        <f>+_xlfn.XLOOKUP(Table5[[#This Row],[Naziv odeljenja]],$J$12:$J$17,$K$12:$K$17,"",0)</f>
        <v>Jelena Ilić</v>
      </c>
    </row>
    <row r="35" spans="2:8" x14ac:dyDescent="0.3">
      <c r="B35" s="107">
        <v>1024</v>
      </c>
      <c r="C35" s="108" t="s">
        <v>105</v>
      </c>
      <c r="D35" s="108" t="s">
        <v>63</v>
      </c>
      <c r="E35" s="108" t="s">
        <v>106</v>
      </c>
      <c r="F35" s="109">
        <v>44542</v>
      </c>
      <c r="G35" s="118" t="str">
        <f>+VLOOKUP(Table5[[#This Row],[Naziv odeljenja]],$J$11:$K$17,2,FALSE)</f>
        <v>Nikola Nikolić</v>
      </c>
      <c r="H35" s="119" t="str">
        <f>+_xlfn.XLOOKUP(Table5[[#This Row],[Naziv odeljenja]],$J$12:$J$17,$K$12:$K$17,"",0)</f>
        <v>Nikola Nikolić</v>
      </c>
    </row>
    <row r="36" spans="2:8" x14ac:dyDescent="0.3">
      <c r="B36" s="107">
        <v>1025</v>
      </c>
      <c r="C36" s="108" t="s">
        <v>107</v>
      </c>
      <c r="D36" s="108" t="s">
        <v>68</v>
      </c>
      <c r="E36" s="108" t="s">
        <v>108</v>
      </c>
      <c r="F36" s="109">
        <v>43669</v>
      </c>
      <c r="G36" s="118" t="str">
        <f>+VLOOKUP(Table5[[#This Row],[Naziv odeljenja]],$J$11:$K$17,2,FALSE)</f>
        <v>Milena Stojanov</v>
      </c>
      <c r="H36" s="119" t="str">
        <f>+_xlfn.XLOOKUP(Table5[[#This Row],[Naziv odeljenja]],$J$12:$J$17,$K$12:$K$17,"",0)</f>
        <v>Milena Stojanov</v>
      </c>
    </row>
    <row r="37" spans="2:8" x14ac:dyDescent="0.3">
      <c r="B37" s="107">
        <v>1026</v>
      </c>
      <c r="C37" s="108" t="s">
        <v>109</v>
      </c>
      <c r="D37" s="108" t="s">
        <v>71</v>
      </c>
      <c r="E37" s="108" t="s">
        <v>110</v>
      </c>
      <c r="F37" s="109">
        <v>44059</v>
      </c>
      <c r="G37" s="118" t="str">
        <f>+VLOOKUP(Table5[[#This Row],[Naziv odeljenja]],$J$11:$K$17,2,FALSE)</f>
        <v>Petar Kostić</v>
      </c>
      <c r="H37" s="119" t="str">
        <f>+_xlfn.XLOOKUP(Table5[[#This Row],[Naziv odeljenja]],$J$12:$J$17,$K$12:$K$17,"",0)</f>
        <v>Petar Kostić</v>
      </c>
    </row>
    <row r="38" spans="2:8" x14ac:dyDescent="0.3">
      <c r="B38" s="107">
        <v>1027</v>
      </c>
      <c r="C38" s="108" t="s">
        <v>111</v>
      </c>
      <c r="D38" s="108" t="s">
        <v>60</v>
      </c>
      <c r="E38" s="108" t="s">
        <v>112</v>
      </c>
      <c r="F38" s="109">
        <v>43401</v>
      </c>
      <c r="G38" s="118" t="str">
        <f>+VLOOKUP(Table5[[#This Row],[Naziv odeljenja]],$J$11:$K$17,2,FALSE)</f>
        <v>Jelena Ilić</v>
      </c>
      <c r="H38" s="119" t="str">
        <f>+_xlfn.XLOOKUP(Table5[[#This Row],[Naziv odeljenja]],$J$12:$J$17,$K$12:$K$17,"",0)</f>
        <v>Jelena Ilić</v>
      </c>
    </row>
    <row r="39" spans="2:8" x14ac:dyDescent="0.3">
      <c r="B39" s="107">
        <v>1028</v>
      </c>
      <c r="C39" s="108" t="s">
        <v>113</v>
      </c>
      <c r="D39" s="108" t="s">
        <v>54</v>
      </c>
      <c r="E39" s="108" t="s">
        <v>114</v>
      </c>
      <c r="F39" s="109">
        <v>45417</v>
      </c>
      <c r="G39" s="118" t="str">
        <f>+VLOOKUP(Table5[[#This Row],[Naziv odeljenja]],$J$11:$K$17,2,FALSE)</f>
        <v>Ana Petrović</v>
      </c>
      <c r="H39" s="119" t="str">
        <f>+_xlfn.XLOOKUP(Table5[[#This Row],[Naziv odeljenja]],$J$12:$J$17,$K$12:$K$17,"",0)</f>
        <v>Ana Petrović</v>
      </c>
    </row>
    <row r="40" spans="2:8" x14ac:dyDescent="0.3">
      <c r="B40" s="107">
        <v>1029</v>
      </c>
      <c r="C40" s="108" t="s">
        <v>115</v>
      </c>
      <c r="D40" s="108" t="s">
        <v>57</v>
      </c>
      <c r="E40" s="108" t="s">
        <v>116</v>
      </c>
      <c r="F40" s="109">
        <v>44458</v>
      </c>
      <c r="G40" s="118" t="str">
        <f>+VLOOKUP(Table5[[#This Row],[Naziv odeljenja]],$J$11:$K$17,2,FALSE)</f>
        <v>Marko Jovanović</v>
      </c>
      <c r="H40" s="119" t="str">
        <f>+_xlfn.XLOOKUP(Table5[[#This Row],[Naziv odeljenja]],$J$12:$J$17,$K$12:$K$17,"",0)</f>
        <v>Marko Jovanović</v>
      </c>
    </row>
    <row r="41" spans="2:8" x14ac:dyDescent="0.3">
      <c r="B41" s="107">
        <v>1030</v>
      </c>
      <c r="C41" s="108" t="s">
        <v>117</v>
      </c>
      <c r="D41" s="108" t="s">
        <v>60</v>
      </c>
      <c r="E41" s="108" t="s">
        <v>118</v>
      </c>
      <c r="F41" s="109">
        <v>44959</v>
      </c>
      <c r="G41" s="118" t="str">
        <f>+VLOOKUP(Table5[[#This Row],[Naziv odeljenja]],$J$11:$K$17,2,FALSE)</f>
        <v>Jelena Ilić</v>
      </c>
      <c r="H41" s="119" t="str">
        <f>+_xlfn.XLOOKUP(Table5[[#This Row],[Naziv odeljenja]],$J$12:$J$17,$K$12:$K$17,"",0)</f>
        <v>Jelena Ilić</v>
      </c>
    </row>
    <row r="42" spans="2:8" x14ac:dyDescent="0.3">
      <c r="B42" s="107">
        <v>1031</v>
      </c>
      <c r="C42" s="108" t="s">
        <v>119</v>
      </c>
      <c r="D42" s="108" t="s">
        <v>63</v>
      </c>
      <c r="E42" s="108" t="s">
        <v>120</v>
      </c>
      <c r="F42" s="109">
        <v>44142</v>
      </c>
      <c r="G42" s="118" t="str">
        <f>+VLOOKUP(Table5[[#This Row],[Naziv odeljenja]],$J$11:$K$17,2,FALSE)</f>
        <v>Nikola Nikolić</v>
      </c>
      <c r="H42" s="119" t="str">
        <f>+_xlfn.XLOOKUP(Table5[[#This Row],[Naziv odeljenja]],$J$12:$J$17,$K$12:$K$17,"",0)</f>
        <v>Nikola Nikolić</v>
      </c>
    </row>
    <row r="43" spans="2:8" x14ac:dyDescent="0.3">
      <c r="B43" s="107">
        <v>1032</v>
      </c>
      <c r="C43" s="108" t="s">
        <v>121</v>
      </c>
      <c r="D43" s="108" t="s">
        <v>68</v>
      </c>
      <c r="E43" s="108" t="s">
        <v>122</v>
      </c>
      <c r="F43" s="109">
        <v>45762</v>
      </c>
      <c r="G43" s="118" t="str">
        <f>+VLOOKUP(Table5[[#This Row],[Naziv odeljenja]],$J$11:$K$17,2,FALSE)</f>
        <v>Milena Stojanov</v>
      </c>
      <c r="H43" s="119" t="str">
        <f>+_xlfn.XLOOKUP(Table5[[#This Row],[Naziv odeljenja]],$J$12:$J$17,$K$12:$K$17,"",0)</f>
        <v>Milena Stojanov</v>
      </c>
    </row>
    <row r="44" spans="2:8" x14ac:dyDescent="0.3">
      <c r="B44" s="107">
        <v>1033</v>
      </c>
      <c r="C44" s="108" t="s">
        <v>123</v>
      </c>
      <c r="D44" s="108" t="s">
        <v>71</v>
      </c>
      <c r="E44" s="108" t="s">
        <v>124</v>
      </c>
      <c r="F44" s="109">
        <v>43626</v>
      </c>
      <c r="G44" s="118" t="str">
        <f>+VLOOKUP(Table5[[#This Row],[Naziv odeljenja]],$J$11:$K$17,2,FALSE)</f>
        <v>Petar Kostić</v>
      </c>
      <c r="H44" s="119" t="str">
        <f>+_xlfn.XLOOKUP(Table5[[#This Row],[Naziv odeljenja]],$J$12:$J$17,$K$12:$K$17,"",0)</f>
        <v>Petar Kostić</v>
      </c>
    </row>
    <row r="45" spans="2:8" x14ac:dyDescent="0.3">
      <c r="B45" s="107">
        <v>1034</v>
      </c>
      <c r="C45" s="108" t="s">
        <v>125</v>
      </c>
      <c r="D45" s="108" t="s">
        <v>60</v>
      </c>
      <c r="E45" s="108" t="s">
        <v>126</v>
      </c>
      <c r="F45" s="109">
        <v>43893</v>
      </c>
      <c r="G45" s="118" t="str">
        <f>+VLOOKUP(Table5[[#This Row],[Naziv odeljenja]],$J$11:$K$17,2,FALSE)</f>
        <v>Jelena Ilić</v>
      </c>
      <c r="H45" s="119" t="str">
        <f>+_xlfn.XLOOKUP(Table5[[#This Row],[Naziv odeljenja]],$J$12:$J$17,$K$12:$K$17,"",0)</f>
        <v>Jelena Ilić</v>
      </c>
    </row>
    <row r="46" spans="2:8" x14ac:dyDescent="0.3">
      <c r="B46" s="107">
        <v>1035</v>
      </c>
      <c r="C46" s="108" t="s">
        <v>127</v>
      </c>
      <c r="D46" s="108" t="s">
        <v>54</v>
      </c>
      <c r="E46" s="108" t="s">
        <v>128</v>
      </c>
      <c r="F46" s="109">
        <v>44312</v>
      </c>
      <c r="G46" s="118" t="str">
        <f>+VLOOKUP(Table5[[#This Row],[Naziv odeljenja]],$J$11:$K$17,2,FALSE)</f>
        <v>Ana Petrović</v>
      </c>
      <c r="H46" s="119" t="str">
        <f>+_xlfn.XLOOKUP(Table5[[#This Row],[Naziv odeljenja]],$J$12:$J$17,$K$12:$K$17,"",0)</f>
        <v>Ana Petrović</v>
      </c>
    </row>
    <row r="47" spans="2:8" x14ac:dyDescent="0.3">
      <c r="B47" s="107">
        <v>1036</v>
      </c>
      <c r="C47" s="108" t="s">
        <v>129</v>
      </c>
      <c r="D47" s="108" t="s">
        <v>57</v>
      </c>
      <c r="E47" s="108" t="s">
        <v>130</v>
      </c>
      <c r="F47" s="109">
        <v>44781</v>
      </c>
      <c r="G47" s="118" t="str">
        <f>+VLOOKUP(Table5[[#This Row],[Naziv odeljenja]],$J$11:$K$17,2,FALSE)</f>
        <v>Marko Jovanović</v>
      </c>
      <c r="H47" s="119" t="str">
        <f>+_xlfn.XLOOKUP(Table5[[#This Row],[Naziv odeljenja]],$J$12:$J$17,$K$12:$K$17,"",0)</f>
        <v>Marko Jovanović</v>
      </c>
    </row>
    <row r="48" spans="2:8" x14ac:dyDescent="0.3">
      <c r="B48" s="107">
        <v>1037</v>
      </c>
      <c r="C48" s="108" t="s">
        <v>131</v>
      </c>
      <c r="D48" s="108" t="s">
        <v>60</v>
      </c>
      <c r="E48" s="108" t="s">
        <v>132</v>
      </c>
      <c r="F48" s="109">
        <v>44124</v>
      </c>
      <c r="G48" s="118" t="str">
        <f>+VLOOKUP(Table5[[#This Row],[Naziv odeljenja]],$J$11:$K$17,2,FALSE)</f>
        <v>Jelena Ilić</v>
      </c>
      <c r="H48" s="119" t="str">
        <f>+_xlfn.XLOOKUP(Table5[[#This Row],[Naziv odeljenja]],$J$12:$J$17,$K$12:$K$17,"",0)</f>
        <v>Jelena Ilić</v>
      </c>
    </row>
    <row r="49" spans="2:8" x14ac:dyDescent="0.3">
      <c r="B49" s="107">
        <v>1038</v>
      </c>
      <c r="C49" s="108" t="s">
        <v>133</v>
      </c>
      <c r="D49" s="108" t="s">
        <v>63</v>
      </c>
      <c r="E49" s="108" t="s">
        <v>134</v>
      </c>
      <c r="F49" s="109">
        <v>44652</v>
      </c>
      <c r="G49" s="118" t="str">
        <f>+VLOOKUP(Table5[[#This Row],[Naziv odeljenja]],$J$11:$K$17,2,FALSE)</f>
        <v>Nikola Nikolić</v>
      </c>
      <c r="H49" s="119" t="str">
        <f>+_xlfn.XLOOKUP(Table5[[#This Row],[Naziv odeljenja]],$J$12:$J$17,$K$12:$K$17,"",0)</f>
        <v>Nikola Nikolić</v>
      </c>
    </row>
    <row r="50" spans="2:8" x14ac:dyDescent="0.3">
      <c r="B50" s="107">
        <v>1039</v>
      </c>
      <c r="C50" s="108" t="s">
        <v>135</v>
      </c>
      <c r="D50" s="108" t="s">
        <v>68</v>
      </c>
      <c r="E50" s="108" t="s">
        <v>136</v>
      </c>
      <c r="F50" s="109">
        <v>43780</v>
      </c>
      <c r="G50" s="118" t="str">
        <f>+VLOOKUP(Table5[[#This Row],[Naziv odeljenja]],$J$11:$K$17,2,FALSE)</f>
        <v>Milena Stojanov</v>
      </c>
      <c r="H50" s="119" t="str">
        <f>+_xlfn.XLOOKUP(Table5[[#This Row],[Naziv odeljenja]],$J$12:$J$17,$K$12:$K$17,"",0)</f>
        <v>Milena Stojanov</v>
      </c>
    </row>
    <row r="51" spans="2:8" x14ac:dyDescent="0.3">
      <c r="B51" s="110">
        <v>1040</v>
      </c>
      <c r="C51" s="111" t="s">
        <v>137</v>
      </c>
      <c r="D51" s="111" t="s">
        <v>71</v>
      </c>
      <c r="E51" s="111" t="s">
        <v>138</v>
      </c>
      <c r="F51" s="112">
        <v>44445</v>
      </c>
      <c r="G51" s="118" t="str">
        <f>+VLOOKUP(Table5[[#This Row],[Naziv odeljenja]],$J$11:$K$17,2,FALSE)</f>
        <v>Petar Kostić</v>
      </c>
      <c r="H51" s="119" t="str">
        <f>+_xlfn.XLOOKUP(Table5[[#This Row],[Naziv odeljenja]],$J$12:$J$17,$K$12:$K$17,"",0)</f>
        <v>Petar Kostić</v>
      </c>
    </row>
    <row r="52" spans="2:8" x14ac:dyDescent="0.3">
      <c r="G52" s="106"/>
      <c r="H52" s="106"/>
    </row>
  </sheetData>
  <mergeCells count="1">
    <mergeCell ref="J19:L20"/>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CD83B-12FC-46E8-8B81-5F4D3C20A429}">
  <sheetPr>
    <tabColor rgb="FF68D290"/>
  </sheetPr>
  <dimension ref="B1:U40"/>
  <sheetViews>
    <sheetView showGridLines="0" workbookViewId="0"/>
  </sheetViews>
  <sheetFormatPr defaultRowHeight="14.4" x14ac:dyDescent="0.3"/>
  <cols>
    <col min="2" max="2" width="8.88671875" customWidth="1"/>
    <col min="3" max="3" width="14.6640625" customWidth="1"/>
    <col min="4" max="4" width="12.5546875" customWidth="1"/>
    <col min="5" max="5" width="14.109375" customWidth="1"/>
    <col min="9" max="9" width="20.6640625" customWidth="1"/>
    <col min="10" max="10" width="16.44140625" customWidth="1"/>
    <col min="16" max="16" width="10" customWidth="1"/>
  </cols>
  <sheetData>
    <row r="1" spans="2:21" ht="24.6" customHeight="1" thickBot="1" x14ac:dyDescent="0.35">
      <c r="B1" s="121" t="s">
        <v>423</v>
      </c>
      <c r="C1" s="121"/>
      <c r="D1" s="121"/>
      <c r="E1" s="121"/>
      <c r="F1" s="121"/>
      <c r="G1" s="121"/>
      <c r="H1" s="121"/>
      <c r="I1" s="121"/>
      <c r="J1" s="121"/>
      <c r="K1" s="121"/>
      <c r="L1" s="121"/>
      <c r="M1" s="121"/>
      <c r="N1" s="121"/>
      <c r="O1" s="121"/>
      <c r="P1" s="121"/>
      <c r="Q1" s="121"/>
      <c r="R1" s="121"/>
      <c r="S1" s="121"/>
      <c r="T1" s="121"/>
      <c r="U1" s="121"/>
    </row>
    <row r="2" spans="2:21" ht="15" thickTop="1" x14ac:dyDescent="0.3">
      <c r="B2" t="s">
        <v>439</v>
      </c>
    </row>
    <row r="3" spans="2:21" x14ac:dyDescent="0.3">
      <c r="B3" t="s">
        <v>440</v>
      </c>
    </row>
    <row r="4" spans="2:21" x14ac:dyDescent="0.3">
      <c r="B4" t="s">
        <v>441</v>
      </c>
    </row>
    <row r="5" spans="2:21" ht="23.4" customHeight="1" x14ac:dyDescent="0.3">
      <c r="B5" s="128" t="s">
        <v>424</v>
      </c>
      <c r="C5" s="127"/>
      <c r="D5" s="127"/>
      <c r="E5" s="127"/>
      <c r="F5" s="127"/>
      <c r="G5" s="127"/>
      <c r="H5" s="127"/>
    </row>
    <row r="6" spans="2:21" x14ac:dyDescent="0.3">
      <c r="B6" s="93" t="s">
        <v>442</v>
      </c>
    </row>
    <row r="8" spans="2:21" x14ac:dyDescent="0.3">
      <c r="B8" s="122" t="s">
        <v>48</v>
      </c>
      <c r="C8" s="122" t="s">
        <v>49</v>
      </c>
      <c r="D8" s="122" t="s">
        <v>401</v>
      </c>
      <c r="E8" s="122" t="s">
        <v>387</v>
      </c>
      <c r="I8" s="123" t="s">
        <v>401</v>
      </c>
      <c r="J8" s="123" t="s">
        <v>387</v>
      </c>
    </row>
    <row r="9" spans="2:21" x14ac:dyDescent="0.3">
      <c r="B9">
        <v>1017</v>
      </c>
      <c r="C9" s="1" t="s">
        <v>91</v>
      </c>
      <c r="D9" s="124">
        <v>142500</v>
      </c>
      <c r="E9" s="125">
        <f>+INDEX($J$9:$J$13,MATCH(Table8[[#This Row],[Prihod]],$I$9:$I$13,1))</f>
        <v>0</v>
      </c>
      <c r="I9" s="1">
        <v>0</v>
      </c>
      <c r="J9" s="79">
        <v>0</v>
      </c>
    </row>
    <row r="10" spans="2:21" x14ac:dyDescent="0.3">
      <c r="B10">
        <v>1004</v>
      </c>
      <c r="C10" s="1" t="s">
        <v>62</v>
      </c>
      <c r="D10" s="124">
        <v>415780</v>
      </c>
      <c r="E10" s="125">
        <f>+INDEX($J$9:$J$13,MATCH(Table8[[#This Row],[Prihod]],$I$9:$I$13,1))</f>
        <v>0.1</v>
      </c>
      <c r="I10" s="1">
        <v>150000</v>
      </c>
      <c r="J10" s="79">
        <v>0.05</v>
      </c>
    </row>
    <row r="11" spans="2:21" x14ac:dyDescent="0.3">
      <c r="B11">
        <v>1032</v>
      </c>
      <c r="C11" s="1" t="s">
        <v>121</v>
      </c>
      <c r="D11" s="124">
        <v>198400</v>
      </c>
      <c r="E11" s="125">
        <f>+INDEX($J$9:$J$13,MATCH(Table8[[#This Row],[Prihod]],$I$9:$I$13,1))</f>
        <v>0.05</v>
      </c>
      <c r="I11" s="1">
        <v>350000</v>
      </c>
      <c r="J11" s="79">
        <v>0.1</v>
      </c>
    </row>
    <row r="12" spans="2:21" x14ac:dyDescent="0.3">
      <c r="B12">
        <v>1010</v>
      </c>
      <c r="C12" s="1" t="s">
        <v>77</v>
      </c>
      <c r="D12" s="124">
        <v>76200</v>
      </c>
      <c r="E12" s="125">
        <f>+INDEX($J$9:$J$13,MATCH(Table8[[#This Row],[Prihod]],$I$9:$I$13,1))</f>
        <v>0</v>
      </c>
      <c r="I12" s="1">
        <v>450000</v>
      </c>
      <c r="J12" s="79">
        <v>0.15</v>
      </c>
    </row>
    <row r="13" spans="2:21" x14ac:dyDescent="0.3">
      <c r="B13">
        <v>1028</v>
      </c>
      <c r="C13" s="1" t="s">
        <v>113</v>
      </c>
      <c r="D13" s="124">
        <v>255000</v>
      </c>
      <c r="E13" s="125">
        <f>+INDEX($J$9:$J$13,MATCH(Table8[[#This Row],[Prihod]],$I$9:$I$13,1))</f>
        <v>0.05</v>
      </c>
      <c r="I13" s="1">
        <v>550000</v>
      </c>
      <c r="J13" s="79">
        <v>0.2</v>
      </c>
    </row>
    <row r="14" spans="2:21" x14ac:dyDescent="0.3">
      <c r="B14">
        <v>1007</v>
      </c>
      <c r="C14" s="1" t="s">
        <v>70</v>
      </c>
      <c r="D14" s="124">
        <v>134800</v>
      </c>
      <c r="E14" s="125">
        <f>+INDEX($J$9:$J$13,MATCH(Table8[[#This Row],[Prihod]],$I$9:$I$13,1))</f>
        <v>0</v>
      </c>
    </row>
    <row r="15" spans="2:21" x14ac:dyDescent="0.3">
      <c r="B15">
        <v>1039</v>
      </c>
      <c r="C15" s="1" t="s">
        <v>135</v>
      </c>
      <c r="D15" s="124">
        <v>397120</v>
      </c>
      <c r="E15" s="125">
        <f>+INDEX($J$9:$J$13,MATCH(Table8[[#This Row],[Prihod]],$I$9:$I$13,1))</f>
        <v>0.1</v>
      </c>
    </row>
    <row r="16" spans="2:21" x14ac:dyDescent="0.3">
      <c r="B16">
        <v>1001</v>
      </c>
      <c r="C16" s="1" t="s">
        <v>53</v>
      </c>
      <c r="D16" s="124">
        <v>310500</v>
      </c>
      <c r="E16" s="125">
        <f>+INDEX($J$9:$J$13,MATCH(Table8[[#This Row],[Prihod]],$I$9:$I$13,1))</f>
        <v>0.05</v>
      </c>
      <c r="I16" t="s">
        <v>426</v>
      </c>
    </row>
    <row r="17" spans="2:9" x14ac:dyDescent="0.3">
      <c r="B17">
        <v>1030</v>
      </c>
      <c r="C17" s="1" t="s">
        <v>117</v>
      </c>
      <c r="D17" s="124">
        <v>58700</v>
      </c>
      <c r="E17" s="125">
        <f>+INDEX($J$9:$J$13,MATCH(Table8[[#This Row],[Prihod]],$I$9:$I$13,1))</f>
        <v>0</v>
      </c>
      <c r="I17" t="s">
        <v>428</v>
      </c>
    </row>
    <row r="18" spans="2:9" x14ac:dyDescent="0.3">
      <c r="B18">
        <v>1020</v>
      </c>
      <c r="C18" s="1" t="s">
        <v>97</v>
      </c>
      <c r="D18" s="124">
        <v>172900</v>
      </c>
      <c r="E18" s="125">
        <f>+INDEX($J$9:$J$13,MATCH(Table8[[#This Row],[Prihod]],$I$9:$I$13,1))</f>
        <v>0.05</v>
      </c>
    </row>
    <row r="19" spans="2:9" x14ac:dyDescent="0.3">
      <c r="B19">
        <v>1012</v>
      </c>
      <c r="C19" s="1" t="s">
        <v>81</v>
      </c>
      <c r="D19" s="124">
        <v>550000</v>
      </c>
      <c r="E19" s="125">
        <f>+INDEX($J$9:$J$13,MATCH(Table8[[#This Row],[Prihod]],$I$9:$I$13,1))</f>
        <v>0.2</v>
      </c>
    </row>
    <row r="20" spans="2:9" x14ac:dyDescent="0.3">
      <c r="B20">
        <v>1034</v>
      </c>
      <c r="C20" s="1" t="s">
        <v>125</v>
      </c>
      <c r="D20" s="124">
        <v>220400</v>
      </c>
      <c r="E20" s="125">
        <f>+INDEX($J$9:$J$13,MATCH(Table8[[#This Row],[Prihod]],$I$9:$I$13,1))</f>
        <v>0.05</v>
      </c>
    </row>
    <row r="21" spans="2:9" x14ac:dyDescent="0.3">
      <c r="B21">
        <v>1006</v>
      </c>
      <c r="C21" s="1" t="s">
        <v>67</v>
      </c>
      <c r="D21" s="124">
        <v>119800</v>
      </c>
      <c r="E21" s="125">
        <f>+INDEX($J$9:$J$13,MATCH(Table8[[#This Row],[Prihod]],$I$9:$I$13,1))</f>
        <v>0</v>
      </c>
    </row>
    <row r="22" spans="2:9" x14ac:dyDescent="0.3">
      <c r="B22">
        <v>1024</v>
      </c>
      <c r="C22" s="1" t="s">
        <v>105</v>
      </c>
      <c r="D22" s="124">
        <v>265600</v>
      </c>
      <c r="E22" s="125">
        <f>+INDEX($J$9:$J$13,MATCH(Table8[[#This Row],[Prihod]],$I$9:$I$13,1))</f>
        <v>0.05</v>
      </c>
    </row>
    <row r="23" spans="2:9" x14ac:dyDescent="0.3">
      <c r="B23">
        <v>1019</v>
      </c>
      <c r="C23" s="1" t="s">
        <v>95</v>
      </c>
      <c r="D23" s="124">
        <v>486050</v>
      </c>
      <c r="E23" s="125">
        <f>+INDEX($J$9:$J$13,MATCH(Table8[[#This Row],[Prihod]],$I$9:$I$13,1))</f>
        <v>0.15</v>
      </c>
    </row>
    <row r="24" spans="2:9" x14ac:dyDescent="0.3">
      <c r="B24">
        <v>1037</v>
      </c>
      <c r="C24" t="s">
        <v>131</v>
      </c>
      <c r="D24" s="124">
        <v>95400</v>
      </c>
      <c r="E24" s="125">
        <f>+INDEX($J$9:$J$13,MATCH(Table8[[#This Row],[Prihod]],$I$9:$I$13,1))</f>
        <v>0</v>
      </c>
    </row>
    <row r="25" spans="2:9" x14ac:dyDescent="0.3">
      <c r="B25">
        <v>1009</v>
      </c>
      <c r="C25" t="s">
        <v>75</v>
      </c>
      <c r="D25" s="124">
        <v>188900</v>
      </c>
      <c r="E25" s="125">
        <f>+INDEX($J$9:$J$13,MATCH(Table8[[#This Row],[Prihod]],$I$9:$I$13,1))</f>
        <v>0.05</v>
      </c>
    </row>
    <row r="26" spans="2:9" x14ac:dyDescent="0.3">
      <c r="B26">
        <v>1033</v>
      </c>
      <c r="C26" t="s">
        <v>123</v>
      </c>
      <c r="D26" s="124">
        <v>132700</v>
      </c>
      <c r="E26" s="125">
        <f>+INDEX($J$9:$J$13,MATCH(Table8[[#This Row],[Prihod]],$I$9:$I$13,1))</f>
        <v>0</v>
      </c>
    </row>
    <row r="27" spans="2:9" x14ac:dyDescent="0.3">
      <c r="B27">
        <v>1015</v>
      </c>
      <c r="C27" t="s">
        <v>87</v>
      </c>
      <c r="D27" s="124">
        <v>154600</v>
      </c>
      <c r="E27" s="125">
        <f>+INDEX($J$9:$J$13,MATCH(Table8[[#This Row],[Prihod]],$I$9:$I$13,1))</f>
        <v>0.05</v>
      </c>
    </row>
    <row r="28" spans="2:9" x14ac:dyDescent="0.3">
      <c r="B28">
        <v>1038</v>
      </c>
      <c r="C28" t="s">
        <v>133</v>
      </c>
      <c r="D28" s="124">
        <v>589000</v>
      </c>
      <c r="E28" s="125">
        <f>+INDEX($J$9:$J$13,MATCH(Table8[[#This Row],[Prihod]],$I$9:$I$13,1))</f>
        <v>0.2</v>
      </c>
    </row>
    <row r="40" spans="9:9" ht="86.4" x14ac:dyDescent="0.3">
      <c r="I40" s="26" t="s">
        <v>425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26AC4-22E5-4A3E-8944-104EA8EC2A94}">
  <sheetPr>
    <tabColor theme="4" tint="0.59999389629810485"/>
  </sheetPr>
  <dimension ref="B1:W57"/>
  <sheetViews>
    <sheetView showGridLines="0" workbookViewId="0"/>
  </sheetViews>
  <sheetFormatPr defaultRowHeight="14.4" x14ac:dyDescent="0.3"/>
  <cols>
    <col min="14" max="14" width="12.21875" customWidth="1"/>
    <col min="15" max="15" width="10.44140625" customWidth="1"/>
    <col min="16" max="16" width="2.109375" customWidth="1"/>
    <col min="17" max="17" width="8.88671875" customWidth="1"/>
  </cols>
  <sheetData>
    <row r="1" spans="2:23" ht="19.8" customHeight="1" thickBot="1" x14ac:dyDescent="0.35">
      <c r="B1" s="66" t="s">
        <v>475</v>
      </c>
      <c r="C1" s="66"/>
      <c r="D1" s="66"/>
      <c r="E1" s="66"/>
      <c r="F1" s="66"/>
      <c r="G1" s="66"/>
      <c r="H1" s="66"/>
      <c r="I1" s="66"/>
      <c r="J1" s="66"/>
      <c r="K1" s="66"/>
      <c r="L1" s="66"/>
      <c r="M1" s="66"/>
      <c r="N1" s="66"/>
      <c r="O1" s="66"/>
      <c r="P1" s="66"/>
      <c r="Q1" s="66"/>
      <c r="R1" s="66"/>
      <c r="S1" s="66"/>
      <c r="T1" s="66"/>
      <c r="U1" s="66"/>
      <c r="V1" s="66"/>
      <c r="W1" s="68"/>
    </row>
    <row r="2" spans="2:23" ht="15" thickTop="1" x14ac:dyDescent="0.3">
      <c r="P2" s="134"/>
    </row>
    <row r="3" spans="2:23" x14ac:dyDescent="0.3">
      <c r="B3" s="135" t="s">
        <v>479</v>
      </c>
      <c r="C3" s="135"/>
      <c r="D3" s="135"/>
      <c r="E3" s="135"/>
      <c r="F3" s="135"/>
      <c r="G3" s="135"/>
      <c r="H3" s="135"/>
      <c r="I3" s="135"/>
      <c r="J3" s="135"/>
      <c r="K3" s="135"/>
      <c r="L3" s="135"/>
      <c r="M3" s="135"/>
      <c r="P3" s="133"/>
    </row>
    <row r="4" spans="2:23" x14ac:dyDescent="0.3">
      <c r="B4" s="135" t="s">
        <v>480</v>
      </c>
      <c r="C4" s="135"/>
      <c r="D4" s="135"/>
      <c r="E4" s="135"/>
      <c r="F4" s="135"/>
      <c r="G4" s="135"/>
      <c r="H4" s="135"/>
      <c r="I4" s="135"/>
      <c r="J4" s="135"/>
      <c r="K4" s="135"/>
      <c r="L4" s="135"/>
      <c r="M4" s="135"/>
      <c r="P4" s="134"/>
    </row>
    <row r="5" spans="2:23" x14ac:dyDescent="0.3">
      <c r="B5" s="135" t="s">
        <v>481</v>
      </c>
      <c r="C5" s="135"/>
      <c r="D5" s="135"/>
      <c r="E5" s="135"/>
      <c r="F5" s="135"/>
      <c r="G5" s="135"/>
      <c r="H5" s="135"/>
      <c r="I5" s="135"/>
      <c r="J5" s="135"/>
      <c r="K5" s="135"/>
      <c r="L5" s="135"/>
      <c r="M5" s="135"/>
      <c r="P5" s="133"/>
    </row>
    <row r="6" spans="2:23" x14ac:dyDescent="0.3">
      <c r="B6" s="135" t="s">
        <v>482</v>
      </c>
      <c r="C6" s="135"/>
      <c r="D6" s="135"/>
      <c r="E6" s="135"/>
      <c r="F6" s="135"/>
      <c r="G6" s="135"/>
      <c r="H6" s="135"/>
      <c r="I6" s="135"/>
      <c r="J6" s="135"/>
      <c r="K6" s="135"/>
      <c r="L6" s="135"/>
      <c r="M6" s="135"/>
      <c r="P6" s="134"/>
    </row>
    <row r="7" spans="2:23" x14ac:dyDescent="0.3">
      <c r="B7" s="135" t="s">
        <v>484</v>
      </c>
      <c r="C7" s="135"/>
      <c r="D7" s="135"/>
      <c r="E7" s="135"/>
      <c r="F7" s="135"/>
      <c r="G7" s="135"/>
      <c r="H7" s="135"/>
      <c r="I7" s="135"/>
      <c r="J7" s="135"/>
      <c r="K7" s="135"/>
      <c r="L7" s="135"/>
      <c r="M7" s="135"/>
      <c r="P7" s="134"/>
    </row>
    <row r="8" spans="2:23" x14ac:dyDescent="0.3">
      <c r="B8" s="135" t="s">
        <v>483</v>
      </c>
      <c r="C8" s="135"/>
      <c r="D8" s="135"/>
      <c r="E8" s="135"/>
      <c r="F8" s="135"/>
      <c r="G8" s="135"/>
      <c r="H8" s="135"/>
      <c r="I8" s="135"/>
      <c r="J8" s="135"/>
      <c r="K8" s="135"/>
      <c r="L8" s="135"/>
      <c r="M8" s="135"/>
      <c r="P8" s="134"/>
    </row>
    <row r="9" spans="2:23" x14ac:dyDescent="0.3">
      <c r="P9" s="134"/>
    </row>
    <row r="10" spans="2:23" x14ac:dyDescent="0.3">
      <c r="P10" s="134"/>
    </row>
    <row r="11" spans="2:23" x14ac:dyDescent="0.3">
      <c r="P11" s="134"/>
    </row>
    <row r="12" spans="2:23" x14ac:dyDescent="0.3">
      <c r="P12" s="134"/>
    </row>
    <row r="13" spans="2:23" x14ac:dyDescent="0.3">
      <c r="P13" s="134"/>
    </row>
    <row r="14" spans="2:23" x14ac:dyDescent="0.3">
      <c r="P14" s="134"/>
    </row>
    <row r="15" spans="2:23" x14ac:dyDescent="0.3">
      <c r="P15" s="134"/>
    </row>
    <row r="16" spans="2:23" x14ac:dyDescent="0.3">
      <c r="B16" s="7"/>
      <c r="C16" s="7"/>
      <c r="D16" s="7"/>
      <c r="E16" s="7"/>
      <c r="F16" s="7"/>
      <c r="G16" s="7"/>
      <c r="H16" s="7"/>
      <c r="I16" s="7"/>
      <c r="J16" s="7"/>
      <c r="K16" s="7"/>
      <c r="L16" s="7"/>
      <c r="P16" s="134"/>
    </row>
    <row r="17" spans="2:16" x14ac:dyDescent="0.3">
      <c r="B17" s="7" t="s">
        <v>478</v>
      </c>
      <c r="C17" s="7"/>
      <c r="D17" s="7"/>
      <c r="E17" s="7"/>
      <c r="F17" s="7"/>
      <c r="G17" s="7"/>
      <c r="H17" s="7"/>
      <c r="I17" s="7"/>
      <c r="J17" s="7"/>
      <c r="K17" s="7"/>
      <c r="L17" s="7"/>
      <c r="P17" s="134"/>
    </row>
    <row r="18" spans="2:16" x14ac:dyDescent="0.3">
      <c r="B18" s="133" t="s">
        <v>485</v>
      </c>
      <c r="C18" s="133"/>
      <c r="D18" s="133"/>
      <c r="E18" s="133"/>
      <c r="F18" s="133"/>
      <c r="G18" s="133"/>
      <c r="H18" s="133"/>
      <c r="I18" s="133"/>
      <c r="J18" s="133"/>
      <c r="K18" s="133"/>
      <c r="L18" s="133"/>
      <c r="P18" s="134"/>
    </row>
    <row r="19" spans="2:16" x14ac:dyDescent="0.3">
      <c r="B19" s="7" t="s">
        <v>489</v>
      </c>
      <c r="C19" s="7"/>
      <c r="D19" s="7"/>
      <c r="E19" s="7"/>
      <c r="F19" s="7"/>
      <c r="G19" s="7"/>
      <c r="H19" s="7"/>
      <c r="I19" s="7"/>
      <c r="J19" s="7"/>
      <c r="K19" s="7"/>
      <c r="L19" s="7"/>
      <c r="P19" s="134"/>
    </row>
    <row r="20" spans="2:16" ht="14.4" customHeight="1" x14ac:dyDescent="0.3">
      <c r="B20" s="7" t="s">
        <v>490</v>
      </c>
      <c r="C20" s="7"/>
      <c r="D20" s="7"/>
      <c r="E20" s="7"/>
      <c r="F20" s="7"/>
      <c r="G20" s="7"/>
      <c r="H20" s="7"/>
      <c r="I20" s="7"/>
      <c r="J20" s="7"/>
      <c r="K20" s="7"/>
      <c r="L20" s="7"/>
      <c r="P20" s="134"/>
    </row>
    <row r="21" spans="2:16" x14ac:dyDescent="0.3">
      <c r="B21" s="198" t="s">
        <v>491</v>
      </c>
      <c r="C21" s="198"/>
      <c r="D21" s="198"/>
      <c r="E21" s="198"/>
      <c r="F21" s="198"/>
      <c r="G21" s="198"/>
      <c r="H21" s="198"/>
      <c r="I21" s="198"/>
      <c r="J21" s="198"/>
      <c r="K21" s="198"/>
      <c r="L21" s="198"/>
      <c r="P21" s="134"/>
    </row>
    <row r="22" spans="2:16" x14ac:dyDescent="0.3">
      <c r="B22" s="198"/>
      <c r="C22" s="198"/>
      <c r="D22" s="198"/>
      <c r="E22" s="198"/>
      <c r="F22" s="198"/>
      <c r="G22" s="198"/>
      <c r="H22" s="198"/>
      <c r="I22" s="198"/>
      <c r="J22" s="198"/>
      <c r="K22" s="198"/>
      <c r="L22" s="198"/>
      <c r="P22" s="134"/>
    </row>
    <row r="23" spans="2:16" x14ac:dyDescent="0.3">
      <c r="B23" s="198" t="s">
        <v>492</v>
      </c>
      <c r="C23" s="198"/>
      <c r="D23" s="198"/>
      <c r="E23" s="198"/>
      <c r="F23" s="198"/>
      <c r="G23" s="198"/>
      <c r="H23" s="198"/>
      <c r="I23" s="198"/>
      <c r="J23" s="198"/>
      <c r="K23" s="198"/>
      <c r="L23" s="198"/>
      <c r="P23" s="134"/>
    </row>
    <row r="24" spans="2:16" x14ac:dyDescent="0.3">
      <c r="B24" s="198"/>
      <c r="C24" s="198"/>
      <c r="D24" s="198"/>
      <c r="E24" s="198"/>
      <c r="F24" s="198"/>
      <c r="G24" s="198"/>
      <c r="H24" s="198"/>
      <c r="I24" s="198"/>
      <c r="J24" s="198"/>
      <c r="K24" s="198"/>
      <c r="L24" s="198"/>
      <c r="P24" s="134"/>
    </row>
    <row r="25" spans="2:16" x14ac:dyDescent="0.3">
      <c r="B25" s="7"/>
      <c r="C25" s="7"/>
      <c r="D25" s="7"/>
      <c r="E25" s="7"/>
      <c r="F25" s="7"/>
      <c r="G25" s="7"/>
      <c r="H25" s="7"/>
      <c r="I25" s="7"/>
      <c r="J25" s="7"/>
      <c r="K25" s="7"/>
      <c r="L25" s="7"/>
      <c r="P25" s="134"/>
    </row>
    <row r="26" spans="2:16" x14ac:dyDescent="0.3">
      <c r="B26" s="133" t="s">
        <v>493</v>
      </c>
      <c r="C26" s="133"/>
      <c r="D26" s="133"/>
      <c r="E26" s="133"/>
      <c r="F26" s="133"/>
      <c r="G26" s="133"/>
      <c r="H26" s="133"/>
      <c r="I26" s="133"/>
      <c r="J26" s="133"/>
      <c r="K26" s="133"/>
      <c r="L26" s="133"/>
      <c r="P26" s="134"/>
    </row>
    <row r="27" spans="2:16" x14ac:dyDescent="0.3">
      <c r="B27" s="198" t="s">
        <v>496</v>
      </c>
      <c r="C27" s="198"/>
      <c r="D27" s="198"/>
      <c r="E27" s="198"/>
      <c r="F27" s="198"/>
      <c r="G27" s="198"/>
      <c r="H27" s="198"/>
      <c r="I27" s="198"/>
      <c r="J27" s="198"/>
      <c r="K27" s="198"/>
      <c r="L27" s="198"/>
    </row>
    <row r="28" spans="2:16" x14ac:dyDescent="0.3">
      <c r="B28" s="198"/>
      <c r="C28" s="198"/>
      <c r="D28" s="198"/>
      <c r="E28" s="198"/>
      <c r="F28" s="198"/>
      <c r="G28" s="198"/>
      <c r="H28" s="198"/>
      <c r="I28" s="198"/>
      <c r="J28" s="198"/>
      <c r="K28" s="198"/>
      <c r="L28" s="198"/>
    </row>
    <row r="29" spans="2:16" x14ac:dyDescent="0.3">
      <c r="B29" s="7"/>
      <c r="C29" s="7"/>
      <c r="D29" s="7"/>
      <c r="E29" s="7"/>
      <c r="F29" s="7"/>
      <c r="G29" s="7"/>
      <c r="H29" s="7"/>
      <c r="I29" s="7"/>
      <c r="J29" s="7"/>
      <c r="K29" s="7"/>
      <c r="L29" s="7"/>
    </row>
    <row r="30" spans="2:16" x14ac:dyDescent="0.3">
      <c r="B30" s="133" t="s">
        <v>494</v>
      </c>
      <c r="C30" s="133"/>
      <c r="D30" s="133"/>
      <c r="E30" s="133"/>
      <c r="F30" s="133"/>
      <c r="G30" s="133"/>
      <c r="H30" s="133"/>
      <c r="I30" s="133"/>
      <c r="J30" s="133"/>
      <c r="K30" s="133"/>
      <c r="L30" s="133"/>
    </row>
    <row r="31" spans="2:16" x14ac:dyDescent="0.3">
      <c r="B31" s="7" t="s">
        <v>495</v>
      </c>
      <c r="C31" s="7"/>
      <c r="D31" s="7"/>
      <c r="E31" s="7"/>
      <c r="F31" s="7"/>
      <c r="G31" s="7"/>
      <c r="H31" s="7"/>
      <c r="I31" s="7"/>
      <c r="J31" s="7"/>
      <c r="K31" s="7"/>
      <c r="L31" s="7"/>
    </row>
    <row r="32" spans="2:16" x14ac:dyDescent="0.3">
      <c r="B32" s="7"/>
      <c r="C32" s="7"/>
      <c r="D32" s="7"/>
      <c r="E32" s="7"/>
      <c r="F32" s="7"/>
      <c r="G32" s="7"/>
      <c r="H32" s="7"/>
      <c r="I32" s="7"/>
      <c r="J32" s="7"/>
      <c r="K32" s="7"/>
      <c r="L32" s="7"/>
    </row>
    <row r="33" spans="2:13" x14ac:dyDescent="0.3">
      <c r="B33" s="133" t="s">
        <v>497</v>
      </c>
      <c r="C33" s="133"/>
      <c r="D33" s="133"/>
      <c r="E33" s="133"/>
      <c r="F33" s="133"/>
      <c r="G33" s="133"/>
      <c r="H33" s="133"/>
      <c r="I33" s="133"/>
      <c r="J33" s="133"/>
      <c r="K33" s="133"/>
      <c r="L33" s="133"/>
    </row>
    <row r="34" spans="2:13" x14ac:dyDescent="0.3">
      <c r="B34" s="7" t="s">
        <v>498</v>
      </c>
      <c r="C34" s="7"/>
      <c r="D34" s="7"/>
      <c r="E34" s="7"/>
      <c r="F34" s="7"/>
      <c r="G34" s="7"/>
      <c r="H34" s="7"/>
      <c r="I34" s="7"/>
      <c r="J34" s="7"/>
      <c r="K34" s="7"/>
      <c r="L34" s="7"/>
    </row>
    <row r="35" spans="2:13" x14ac:dyDescent="0.3">
      <c r="B35" s="7"/>
      <c r="C35" s="7"/>
      <c r="D35" s="7"/>
      <c r="E35" s="7"/>
      <c r="F35" s="7"/>
      <c r="G35" s="7"/>
      <c r="H35" s="7"/>
      <c r="I35" s="7"/>
      <c r="J35" s="7"/>
      <c r="K35" s="7"/>
      <c r="L35" s="7"/>
    </row>
    <row r="36" spans="2:13" x14ac:dyDescent="0.3">
      <c r="B36" s="133" t="s">
        <v>500</v>
      </c>
      <c r="C36" s="133"/>
      <c r="D36" s="133"/>
      <c r="E36" s="133"/>
      <c r="F36" s="133"/>
      <c r="G36" s="133"/>
      <c r="H36" s="133"/>
      <c r="I36" s="133"/>
      <c r="J36" s="133"/>
      <c r="K36" s="133"/>
      <c r="L36" s="133"/>
    </row>
    <row r="37" spans="2:13" x14ac:dyDescent="0.3">
      <c r="B37" s="7" t="s">
        <v>501</v>
      </c>
      <c r="C37" s="7"/>
      <c r="D37" s="7"/>
      <c r="E37" s="7"/>
      <c r="F37" s="7"/>
      <c r="G37" s="7"/>
      <c r="H37" s="7"/>
      <c r="I37" s="7"/>
      <c r="J37" s="7"/>
      <c r="K37" s="7"/>
      <c r="L37" s="7"/>
    </row>
    <row r="38" spans="2:13" x14ac:dyDescent="0.3">
      <c r="B38" s="7"/>
      <c r="C38" s="7"/>
      <c r="D38" s="7"/>
      <c r="E38" s="7"/>
      <c r="F38" s="7"/>
      <c r="G38" s="7"/>
      <c r="H38" s="7"/>
      <c r="I38" s="7"/>
      <c r="J38" s="7"/>
      <c r="K38" s="7"/>
      <c r="L38" s="7"/>
    </row>
    <row r="39" spans="2:13" x14ac:dyDescent="0.3">
      <c r="B39" s="133" t="s">
        <v>503</v>
      </c>
      <c r="C39" s="133"/>
      <c r="D39" s="133"/>
      <c r="E39" s="133"/>
      <c r="F39" s="133"/>
      <c r="G39" s="133"/>
      <c r="H39" s="133"/>
      <c r="I39" s="133"/>
      <c r="J39" s="133"/>
      <c r="K39" s="133"/>
      <c r="L39" s="133"/>
    </row>
    <row r="40" spans="2:13" x14ac:dyDescent="0.3">
      <c r="B40" s="198" t="s">
        <v>504</v>
      </c>
      <c r="C40" s="198"/>
      <c r="D40" s="198"/>
      <c r="E40" s="198"/>
      <c r="F40" s="198"/>
      <c r="G40" s="198"/>
      <c r="H40" s="198"/>
      <c r="I40" s="198"/>
      <c r="J40" s="198"/>
      <c r="K40" s="198"/>
      <c r="L40" s="198"/>
    </row>
    <row r="41" spans="2:13" x14ac:dyDescent="0.3">
      <c r="B41" s="198"/>
      <c r="C41" s="198"/>
      <c r="D41" s="198"/>
      <c r="E41" s="198"/>
      <c r="F41" s="198"/>
      <c r="G41" s="198"/>
      <c r="H41" s="198"/>
      <c r="I41" s="198"/>
      <c r="J41" s="198"/>
      <c r="K41" s="198"/>
      <c r="L41" s="198"/>
    </row>
    <row r="42" spans="2:13" x14ac:dyDescent="0.3">
      <c r="B42" s="7" t="s">
        <v>505</v>
      </c>
      <c r="C42" s="7"/>
      <c r="D42" s="7"/>
      <c r="E42" s="7"/>
      <c r="F42" s="7"/>
      <c r="G42" s="7"/>
      <c r="H42" s="7"/>
      <c r="I42" s="7"/>
      <c r="J42" s="7"/>
      <c r="K42" s="7"/>
      <c r="L42" s="7"/>
    </row>
    <row r="43" spans="2:13" x14ac:dyDescent="0.3">
      <c r="B43" s="7"/>
      <c r="C43" s="7"/>
      <c r="D43" s="7"/>
      <c r="E43" s="7"/>
      <c r="F43" s="7"/>
      <c r="G43" s="7"/>
      <c r="H43" s="7"/>
      <c r="I43" s="7"/>
      <c r="J43" s="7"/>
      <c r="K43" s="7"/>
      <c r="L43" s="7"/>
    </row>
    <row r="45" spans="2:13" x14ac:dyDescent="0.3">
      <c r="B45" s="135" t="s">
        <v>510</v>
      </c>
      <c r="C45" s="135"/>
      <c r="D45" s="135"/>
      <c r="E45" s="135"/>
      <c r="F45" s="135"/>
      <c r="G45" s="135"/>
      <c r="H45" s="135"/>
      <c r="I45" s="135"/>
      <c r="J45" s="135"/>
      <c r="K45" s="135"/>
      <c r="L45" s="135"/>
      <c r="M45" s="135"/>
    </row>
    <row r="46" spans="2:13" x14ac:dyDescent="0.3">
      <c r="B46" s="135" t="s">
        <v>506</v>
      </c>
      <c r="C46" s="135"/>
      <c r="D46" s="135"/>
      <c r="E46" s="135"/>
      <c r="F46" s="135"/>
      <c r="G46" s="135"/>
      <c r="H46" s="135"/>
      <c r="I46" s="135"/>
    </row>
    <row r="47" spans="2:13" x14ac:dyDescent="0.3">
      <c r="B47" s="135" t="s">
        <v>507</v>
      </c>
      <c r="C47" s="135"/>
      <c r="D47" s="135"/>
    </row>
    <row r="48" spans="2:13" ht="14.4" customHeight="1" x14ac:dyDescent="0.3">
      <c r="B48" s="222" t="s">
        <v>515</v>
      </c>
      <c r="C48" s="222"/>
      <c r="D48" s="222"/>
      <c r="E48" s="222"/>
      <c r="F48" s="222"/>
      <c r="G48" s="222"/>
      <c r="H48" s="222"/>
      <c r="I48" s="222"/>
      <c r="J48" s="222"/>
      <c r="K48" s="222"/>
      <c r="L48" s="222"/>
      <c r="M48" s="222"/>
    </row>
    <row r="49" spans="2:13" x14ac:dyDescent="0.3">
      <c r="B49" s="222"/>
      <c r="C49" s="222"/>
      <c r="D49" s="222"/>
      <c r="E49" s="222"/>
      <c r="F49" s="222"/>
      <c r="G49" s="222"/>
      <c r="H49" s="222"/>
      <c r="I49" s="222"/>
      <c r="J49" s="222"/>
      <c r="K49" s="222"/>
      <c r="L49" s="222"/>
      <c r="M49" s="222"/>
    </row>
    <row r="50" spans="2:13" x14ac:dyDescent="0.3">
      <c r="B50" s="135" t="s">
        <v>508</v>
      </c>
      <c r="C50" s="135"/>
    </row>
    <row r="51" spans="2:13" ht="14.4" customHeight="1" x14ac:dyDescent="0.3">
      <c r="B51" s="223" t="s">
        <v>509</v>
      </c>
      <c r="C51" s="223"/>
      <c r="D51" s="223"/>
      <c r="E51" s="223"/>
      <c r="F51" s="223"/>
      <c r="G51" s="223"/>
      <c r="H51" s="223"/>
      <c r="I51" s="223"/>
      <c r="J51" s="223"/>
      <c r="K51" s="223"/>
      <c r="L51" s="223"/>
      <c r="M51" s="223"/>
    </row>
    <row r="52" spans="2:13" x14ac:dyDescent="0.3">
      <c r="B52" s="223"/>
      <c r="C52" s="223"/>
      <c r="D52" s="223"/>
      <c r="E52" s="223"/>
      <c r="F52" s="223"/>
      <c r="G52" s="223"/>
      <c r="H52" s="223"/>
      <c r="I52" s="223"/>
      <c r="J52" s="223"/>
      <c r="K52" s="223"/>
      <c r="L52" s="223"/>
      <c r="M52" s="223"/>
    </row>
    <row r="53" spans="2:13" x14ac:dyDescent="0.3">
      <c r="B53" s="223"/>
      <c r="C53" s="223"/>
      <c r="D53" s="223"/>
      <c r="E53" s="223"/>
      <c r="F53" s="223"/>
      <c r="G53" s="223"/>
      <c r="H53" s="223"/>
      <c r="I53" s="223"/>
      <c r="J53" s="223"/>
      <c r="K53" s="223"/>
      <c r="L53" s="223"/>
      <c r="M53" s="223"/>
    </row>
    <row r="54" spans="2:13" x14ac:dyDescent="0.3">
      <c r="B54" s="143" t="s">
        <v>511</v>
      </c>
      <c r="C54" s="142"/>
      <c r="D54" s="142"/>
      <c r="E54" s="142"/>
      <c r="F54" s="142"/>
      <c r="G54" s="142"/>
      <c r="H54" s="142"/>
      <c r="I54" s="142"/>
      <c r="J54" s="142"/>
      <c r="K54" s="142"/>
      <c r="L54" s="142"/>
      <c r="M54" s="142"/>
    </row>
    <row r="55" spans="2:13" ht="14.4" customHeight="1" x14ac:dyDescent="0.3">
      <c r="B55" s="135" t="s">
        <v>514</v>
      </c>
      <c r="C55" s="135"/>
      <c r="D55" s="135"/>
      <c r="E55" s="135"/>
      <c r="F55" s="135"/>
      <c r="G55" s="135"/>
      <c r="H55" s="135"/>
      <c r="I55" s="135"/>
      <c r="J55" s="135"/>
      <c r="K55" s="135"/>
    </row>
    <row r="56" spans="2:13" x14ac:dyDescent="0.3">
      <c r="B56" s="135" t="s">
        <v>512</v>
      </c>
      <c r="C56" s="135"/>
      <c r="D56" s="135"/>
      <c r="E56" s="135"/>
    </row>
    <row r="57" spans="2:13" x14ac:dyDescent="0.3">
      <c r="B57" s="135" t="s">
        <v>513</v>
      </c>
    </row>
  </sheetData>
  <mergeCells count="6">
    <mergeCell ref="B48:M49"/>
    <mergeCell ref="B51:M53"/>
    <mergeCell ref="B21:L22"/>
    <mergeCell ref="B23:L24"/>
    <mergeCell ref="B27:L28"/>
    <mergeCell ref="B40:L4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F39EF-740B-438B-9D13-9EF9C0AC2E69}">
  <sheetPr>
    <tabColor theme="4" tint="0.59999389629810485"/>
  </sheetPr>
  <dimension ref="B1:O128"/>
  <sheetViews>
    <sheetView showGridLines="0" workbookViewId="0"/>
  </sheetViews>
  <sheetFormatPr defaultRowHeight="14.4" x14ac:dyDescent="0.3"/>
  <cols>
    <col min="2" max="2" width="10.33203125" bestFit="1" customWidth="1"/>
    <col min="3" max="3" width="15.21875" bestFit="1" customWidth="1"/>
    <col min="4" max="4" width="15.44140625" bestFit="1" customWidth="1"/>
    <col min="5" max="5" width="13.109375" customWidth="1"/>
    <col min="6" max="6" width="10.44140625" customWidth="1"/>
    <col min="7" max="7" width="8.109375" customWidth="1"/>
    <col min="8" max="8" width="10.6640625" bestFit="1" customWidth="1"/>
    <col min="9" max="9" width="13.77734375" bestFit="1" customWidth="1"/>
    <col min="10" max="10" width="16" bestFit="1" customWidth="1"/>
    <col min="11" max="11" width="14.33203125" bestFit="1" customWidth="1"/>
    <col min="12" max="12" width="18.109375" customWidth="1"/>
  </cols>
  <sheetData>
    <row r="1" spans="2:15" ht="20.399999999999999" customHeight="1" thickBot="1" x14ac:dyDescent="0.35">
      <c r="B1" s="66" t="s">
        <v>487</v>
      </c>
      <c r="C1" s="66"/>
      <c r="D1" s="66"/>
      <c r="E1" s="66"/>
      <c r="F1" s="66"/>
      <c r="G1" s="66"/>
      <c r="H1" s="66"/>
      <c r="I1" s="66"/>
      <c r="J1" s="66"/>
      <c r="K1" s="66"/>
      <c r="L1" s="66"/>
      <c r="M1" s="66"/>
      <c r="N1" s="66"/>
      <c r="O1" s="66"/>
    </row>
    <row r="2" spans="2:15" ht="15" customHeight="1" thickTop="1" x14ac:dyDescent="0.3">
      <c r="B2" s="224" t="s">
        <v>488</v>
      </c>
      <c r="C2" s="224"/>
      <c r="D2" s="224"/>
      <c r="E2" s="224"/>
      <c r="F2" s="224"/>
      <c r="G2" s="224"/>
      <c r="H2" s="224"/>
      <c r="I2" s="224"/>
      <c r="J2" s="224"/>
      <c r="K2" s="224"/>
      <c r="L2" s="224"/>
      <c r="M2" s="224"/>
      <c r="N2" s="224"/>
      <c r="O2" s="224"/>
    </row>
    <row r="3" spans="2:15" x14ac:dyDescent="0.3">
      <c r="B3" s="222"/>
      <c r="C3" s="222"/>
      <c r="D3" s="222"/>
      <c r="E3" s="222"/>
      <c r="F3" s="222"/>
      <c r="G3" s="222"/>
      <c r="H3" s="222"/>
      <c r="I3" s="222"/>
      <c r="J3" s="222"/>
      <c r="K3" s="222"/>
      <c r="L3" s="222"/>
      <c r="M3" s="222"/>
      <c r="N3" s="222"/>
      <c r="O3" s="222"/>
    </row>
    <row r="4" spans="2:15" x14ac:dyDescent="0.3">
      <c r="B4" s="222"/>
      <c r="C4" s="222"/>
      <c r="D4" s="222"/>
      <c r="E4" s="222"/>
      <c r="F4" s="222"/>
      <c r="G4" s="222"/>
      <c r="H4" s="222"/>
      <c r="I4" s="222"/>
      <c r="J4" s="222"/>
      <c r="K4" s="222"/>
      <c r="L4" s="222"/>
      <c r="M4" s="222"/>
      <c r="N4" s="222"/>
      <c r="O4" s="222"/>
    </row>
    <row r="5" spans="2:15" x14ac:dyDescent="0.3">
      <c r="B5" s="135" t="s">
        <v>486</v>
      </c>
      <c r="C5" s="136"/>
      <c r="D5" s="136"/>
      <c r="E5" s="136"/>
      <c r="F5" s="136"/>
      <c r="G5" s="136"/>
      <c r="H5" s="136"/>
      <c r="I5" s="136"/>
      <c r="J5" s="136"/>
      <c r="K5" s="136"/>
      <c r="L5" s="136"/>
      <c r="M5" s="136"/>
      <c r="N5" s="136"/>
      <c r="O5" s="136"/>
    </row>
    <row r="8" spans="2:15" x14ac:dyDescent="0.3">
      <c r="B8" t="s">
        <v>465</v>
      </c>
      <c r="C8" t="s">
        <v>466</v>
      </c>
      <c r="D8" t="s">
        <v>467</v>
      </c>
      <c r="E8" t="s">
        <v>468</v>
      </c>
      <c r="F8" t="s">
        <v>469</v>
      </c>
      <c r="G8" t="s">
        <v>470</v>
      </c>
      <c r="H8" t="s">
        <v>471</v>
      </c>
      <c r="I8" t="s">
        <v>472</v>
      </c>
      <c r="J8" t="s">
        <v>401</v>
      </c>
      <c r="K8" t="s">
        <v>473</v>
      </c>
      <c r="L8" t="s">
        <v>474</v>
      </c>
      <c r="M8" t="s">
        <v>455</v>
      </c>
      <c r="N8" s="138" t="s">
        <v>456</v>
      </c>
      <c r="O8" t="s">
        <v>457</v>
      </c>
    </row>
    <row r="9" spans="2:15" x14ac:dyDescent="0.3">
      <c r="B9" s="129">
        <v>45354</v>
      </c>
      <c r="C9" s="130" t="s">
        <v>458</v>
      </c>
      <c r="D9" s="130" t="s">
        <v>446</v>
      </c>
      <c r="E9" s="130" t="s">
        <v>448</v>
      </c>
      <c r="F9" s="130">
        <v>19302</v>
      </c>
      <c r="G9" s="130">
        <v>263</v>
      </c>
      <c r="H9" s="130">
        <v>2201</v>
      </c>
      <c r="I9" s="130">
        <v>196</v>
      </c>
      <c r="J9" s="131">
        <v>6701.1</v>
      </c>
      <c r="K9" s="131">
        <v>2075.9699999999998</v>
      </c>
      <c r="L9" s="130" t="s">
        <v>147</v>
      </c>
      <c r="M9" s="140">
        <f>+Baza_podataka[[#This Row],[Klikovi]]/Baza_podataka[[#This Row],[Prikazi]]</f>
        <v>1.362553103305357E-2</v>
      </c>
      <c r="N9" s="139">
        <f>+Baza_podataka[[#This Row],[Prihod]]/Baza_podataka[[#This Row],[Trošak oglasa]]</f>
        <v>3.2279368198962417</v>
      </c>
      <c r="O9" s="141">
        <f>+Baza_podataka[[#This Row],[Trošak oglasa]]/Baza_podataka[[#This Row],[Prihod]]</f>
        <v>0.30979540672426908</v>
      </c>
    </row>
    <row r="10" spans="2:15" x14ac:dyDescent="0.3">
      <c r="B10" s="129">
        <v>45292</v>
      </c>
      <c r="C10" s="130" t="s">
        <v>459</v>
      </c>
      <c r="D10" s="130" t="s">
        <v>450</v>
      </c>
      <c r="E10" s="130" t="s">
        <v>445</v>
      </c>
      <c r="F10" s="130">
        <v>49499</v>
      </c>
      <c r="G10" s="130">
        <v>229</v>
      </c>
      <c r="H10" s="130">
        <v>1821</v>
      </c>
      <c r="I10" s="130">
        <v>38</v>
      </c>
      <c r="J10" s="131">
        <v>7060.04</v>
      </c>
      <c r="K10" s="131">
        <v>1710.02</v>
      </c>
      <c r="L10" s="130" t="s">
        <v>147</v>
      </c>
      <c r="M10" s="140">
        <f>+Baza_podataka[[#This Row],[Klikovi]]/Baza_podataka[[#This Row],[Prikazi]]</f>
        <v>4.6263560880017776E-3</v>
      </c>
      <c r="N10" s="139">
        <f>+Baza_podataka[[#This Row],[Prihod]]/Baza_podataka[[#This Row],[Trošak oglasa]]</f>
        <v>4.1286300745020528</v>
      </c>
      <c r="O10" s="141">
        <f>+Baza_podataka[[#This Row],[Trošak oglasa]]/Baza_podataka[[#This Row],[Prihod]]</f>
        <v>0.24221109228842896</v>
      </c>
    </row>
    <row r="11" spans="2:15" x14ac:dyDescent="0.3">
      <c r="B11" s="129">
        <v>45621</v>
      </c>
      <c r="C11" s="130" t="s">
        <v>460</v>
      </c>
      <c r="D11" s="130" t="s">
        <v>450</v>
      </c>
      <c r="E11" s="130" t="s">
        <v>443</v>
      </c>
      <c r="F11" s="130">
        <v>2986</v>
      </c>
      <c r="G11" s="130">
        <v>2671</v>
      </c>
      <c r="H11" s="130">
        <v>1944</v>
      </c>
      <c r="I11" s="130">
        <v>145</v>
      </c>
      <c r="J11" s="131">
        <v>6878.16</v>
      </c>
      <c r="K11" s="131">
        <v>1140.3399999999999</v>
      </c>
      <c r="L11" s="130" t="s">
        <v>147</v>
      </c>
      <c r="M11" s="140">
        <f>+Baza_podataka[[#This Row],[Klikovi]]/Baza_podataka[[#This Row],[Prikazi]]</f>
        <v>0.89450770261219026</v>
      </c>
      <c r="N11" s="139">
        <f>+Baza_podataka[[#This Row],[Prihod]]/Baza_podataka[[#This Row],[Trošak oglasa]]</f>
        <v>6.0316747636669765</v>
      </c>
      <c r="O11" s="141">
        <f>+Baza_podataka[[#This Row],[Trošak oglasa]]/Baza_podataka[[#This Row],[Prihod]]</f>
        <v>0.1657914325924375</v>
      </c>
    </row>
    <row r="12" spans="2:15" x14ac:dyDescent="0.3">
      <c r="B12" s="129">
        <v>45626</v>
      </c>
      <c r="C12" s="130" t="s">
        <v>460</v>
      </c>
      <c r="D12" s="130" t="s">
        <v>454</v>
      </c>
      <c r="E12" s="130" t="s">
        <v>445</v>
      </c>
      <c r="F12" s="130">
        <v>30871</v>
      </c>
      <c r="G12" s="130">
        <v>548</v>
      </c>
      <c r="H12" s="130">
        <v>3031</v>
      </c>
      <c r="I12" s="130">
        <v>171</v>
      </c>
      <c r="J12" s="131">
        <v>974</v>
      </c>
      <c r="K12" s="131">
        <v>2878.96</v>
      </c>
      <c r="L12" s="130" t="s">
        <v>146</v>
      </c>
      <c r="M12" s="140">
        <f>+Baza_podataka[[#This Row],[Klikovi]]/Baza_podataka[[#This Row],[Prikazi]]</f>
        <v>1.7751287616209387E-2</v>
      </c>
      <c r="N12" s="139">
        <f>+Baza_podataka[[#This Row],[Prihod]]/Baza_podataka[[#This Row],[Trošak oglasa]]</f>
        <v>0.33831661433295357</v>
      </c>
      <c r="O12" s="141">
        <f>+Baza_podataka[[#This Row],[Trošak oglasa]]/Baza_podataka[[#This Row],[Prihod]]</f>
        <v>2.9558110882956878</v>
      </c>
    </row>
    <row r="13" spans="2:15" x14ac:dyDescent="0.3">
      <c r="B13" s="129">
        <v>45640</v>
      </c>
      <c r="C13" s="130" t="s">
        <v>461</v>
      </c>
      <c r="D13" s="130" t="s">
        <v>446</v>
      </c>
      <c r="E13" s="130" t="s">
        <v>443</v>
      </c>
      <c r="F13" s="130">
        <v>20353</v>
      </c>
      <c r="G13" s="130">
        <v>921</v>
      </c>
      <c r="H13" s="130">
        <v>2532</v>
      </c>
      <c r="I13" s="130">
        <v>11</v>
      </c>
      <c r="J13" s="131">
        <v>6519.27</v>
      </c>
      <c r="K13" s="131">
        <v>554.4</v>
      </c>
      <c r="L13" s="130" t="s">
        <v>147</v>
      </c>
      <c r="M13" s="140">
        <f>+Baza_podataka[[#This Row],[Klikovi]]/Baza_podataka[[#This Row],[Prikazi]]</f>
        <v>4.5251314302559818E-2</v>
      </c>
      <c r="N13" s="139">
        <f>+Baza_podataka[[#This Row],[Prihod]]/Baza_podataka[[#This Row],[Trošak oglasa]]</f>
        <v>11.759145021645024</v>
      </c>
      <c r="O13" s="141">
        <f>+Baza_podataka[[#This Row],[Trošak oglasa]]/Baza_podataka[[#This Row],[Prihod]]</f>
        <v>8.5040196218288233E-2</v>
      </c>
    </row>
    <row r="14" spans="2:15" x14ac:dyDescent="0.3">
      <c r="B14" s="129">
        <v>45535</v>
      </c>
      <c r="C14" s="130" t="s">
        <v>461</v>
      </c>
      <c r="D14" s="130" t="s">
        <v>444</v>
      </c>
      <c r="E14" s="130" t="s">
        <v>443</v>
      </c>
      <c r="F14" s="130">
        <v>39059</v>
      </c>
      <c r="G14" s="130">
        <v>809</v>
      </c>
      <c r="H14" s="130">
        <v>450</v>
      </c>
      <c r="I14" s="130">
        <v>75</v>
      </c>
      <c r="J14" s="131">
        <v>5926.39</v>
      </c>
      <c r="K14" s="131">
        <v>812.23</v>
      </c>
      <c r="L14" s="130" t="s">
        <v>147</v>
      </c>
      <c r="M14" s="140">
        <f>+Baza_podataka[[#This Row],[Klikovi]]/Baza_podataka[[#This Row],[Prikazi]]</f>
        <v>2.0712255818121302E-2</v>
      </c>
      <c r="N14" s="139">
        <f>+Baza_podataka[[#This Row],[Prihod]]/Baza_podataka[[#This Row],[Trošak oglasa]]</f>
        <v>7.2964431257156228</v>
      </c>
      <c r="O14" s="141">
        <f>+Baza_podataka[[#This Row],[Trošak oglasa]]/Baza_podataka[[#This Row],[Prihod]]</f>
        <v>0.13705307953070925</v>
      </c>
    </row>
    <row r="15" spans="2:15" x14ac:dyDescent="0.3">
      <c r="B15" s="129">
        <v>45378</v>
      </c>
      <c r="C15" s="130" t="s">
        <v>459</v>
      </c>
      <c r="D15" s="130" t="s">
        <v>462</v>
      </c>
      <c r="E15" s="130" t="s">
        <v>449</v>
      </c>
      <c r="F15" s="130">
        <v>45329</v>
      </c>
      <c r="G15" s="130">
        <v>2854</v>
      </c>
      <c r="H15" s="130">
        <v>604</v>
      </c>
      <c r="I15" s="130">
        <v>128</v>
      </c>
      <c r="J15" s="131">
        <v>9257.94</v>
      </c>
      <c r="K15" s="131">
        <v>141.06</v>
      </c>
      <c r="L15" s="130" t="s">
        <v>146</v>
      </c>
      <c r="M15" s="140">
        <f>+Baza_podataka[[#This Row],[Klikovi]]/Baza_podataka[[#This Row],[Prikazi]]</f>
        <v>6.296190076992654E-2</v>
      </c>
      <c r="N15" s="139">
        <f>+Baza_podataka[[#This Row],[Prihod]]/Baza_podataka[[#This Row],[Trošak oglasa]]</f>
        <v>65.631220757124623</v>
      </c>
      <c r="O15" s="141">
        <f>+Baza_podataka[[#This Row],[Trošak oglasa]]/Baza_podataka[[#This Row],[Prihod]]</f>
        <v>1.5236650918022799E-2</v>
      </c>
    </row>
    <row r="16" spans="2:15" x14ac:dyDescent="0.3">
      <c r="B16" s="129">
        <v>45584</v>
      </c>
      <c r="C16" s="130" t="s">
        <v>463</v>
      </c>
      <c r="D16" s="130" t="s">
        <v>444</v>
      </c>
      <c r="E16" s="130" t="s">
        <v>445</v>
      </c>
      <c r="F16" s="130">
        <v>35450</v>
      </c>
      <c r="G16" s="130">
        <v>168</v>
      </c>
      <c r="H16" s="130">
        <v>195</v>
      </c>
      <c r="I16" s="130">
        <v>167</v>
      </c>
      <c r="J16" s="131">
        <v>7128.17</v>
      </c>
      <c r="K16" s="131">
        <v>402.19</v>
      </c>
      <c r="L16" s="130" t="s">
        <v>147</v>
      </c>
      <c r="M16" s="140">
        <f>+Baza_podataka[[#This Row],[Klikovi]]/Baza_podataka[[#This Row],[Prikazi]]</f>
        <v>4.7390691114245417E-3</v>
      </c>
      <c r="N16" s="139">
        <f>+Baza_podataka[[#This Row],[Prihod]]/Baza_podataka[[#This Row],[Trošak oglasa]]</f>
        <v>17.723389442800666</v>
      </c>
      <c r="O16" s="141">
        <f>+Baza_podataka[[#This Row],[Trošak oglasa]]/Baza_podataka[[#This Row],[Prihod]]</f>
        <v>5.64226161833963E-2</v>
      </c>
    </row>
    <row r="17" spans="2:15" x14ac:dyDescent="0.3">
      <c r="B17" s="129">
        <v>45570</v>
      </c>
      <c r="C17" s="130" t="s">
        <v>464</v>
      </c>
      <c r="D17" s="130" t="s">
        <v>444</v>
      </c>
      <c r="E17" s="130" t="s">
        <v>445</v>
      </c>
      <c r="F17" s="130">
        <v>17283</v>
      </c>
      <c r="G17" s="130">
        <v>264</v>
      </c>
      <c r="H17" s="130">
        <v>2120</v>
      </c>
      <c r="I17" s="130">
        <v>141</v>
      </c>
      <c r="J17" s="131">
        <v>8064.79</v>
      </c>
      <c r="K17" s="131">
        <v>586.04999999999995</v>
      </c>
      <c r="L17" s="130" t="s">
        <v>146</v>
      </c>
      <c r="M17" s="140">
        <f>+Baza_podataka[[#This Row],[Klikovi]]/Baza_podataka[[#This Row],[Prikazi]]</f>
        <v>1.5275125846207256E-2</v>
      </c>
      <c r="N17" s="139">
        <f>+Baza_podataka[[#This Row],[Prihod]]/Baza_podataka[[#This Row],[Trošak oglasa]]</f>
        <v>13.761266103574782</v>
      </c>
      <c r="O17" s="141">
        <f>+Baza_podataka[[#This Row],[Trošak oglasa]]/Baza_podataka[[#This Row],[Prihod]]</f>
        <v>7.2667732203814353E-2</v>
      </c>
    </row>
    <row r="18" spans="2:15" x14ac:dyDescent="0.3">
      <c r="B18" s="129">
        <v>45341</v>
      </c>
      <c r="C18" s="130" t="s">
        <v>463</v>
      </c>
      <c r="D18" s="130" t="s">
        <v>446</v>
      </c>
      <c r="E18" s="130" t="s">
        <v>443</v>
      </c>
      <c r="F18" s="130">
        <v>41165</v>
      </c>
      <c r="G18" s="130">
        <v>1311</v>
      </c>
      <c r="H18" s="130">
        <v>1165</v>
      </c>
      <c r="I18" s="130">
        <v>162</v>
      </c>
      <c r="J18" s="131">
        <v>8992.01</v>
      </c>
      <c r="K18" s="131">
        <v>2751.06</v>
      </c>
      <c r="L18" s="130" t="s">
        <v>147</v>
      </c>
      <c r="M18" s="140">
        <f>+Baza_podataka[[#This Row],[Klikovi]]/Baza_podataka[[#This Row],[Prikazi]]</f>
        <v>3.1847443216324545E-2</v>
      </c>
      <c r="N18" s="139">
        <f>+Baza_podataka[[#This Row],[Prihod]]/Baza_podataka[[#This Row],[Trošak oglasa]]</f>
        <v>3.2685619361264386</v>
      </c>
      <c r="O18" s="141">
        <f>+Baza_podataka[[#This Row],[Trošak oglasa]]/Baza_podataka[[#This Row],[Prihod]]</f>
        <v>0.30594494445624504</v>
      </c>
    </row>
    <row r="19" spans="2:15" x14ac:dyDescent="0.3">
      <c r="B19" s="129">
        <v>45431</v>
      </c>
      <c r="C19" s="130" t="s">
        <v>463</v>
      </c>
      <c r="D19" s="130" t="s">
        <v>462</v>
      </c>
      <c r="E19" s="130" t="s">
        <v>448</v>
      </c>
      <c r="F19" s="130">
        <v>16925</v>
      </c>
      <c r="G19" s="130">
        <v>2491</v>
      </c>
      <c r="H19" s="130">
        <v>1373</v>
      </c>
      <c r="I19" s="130">
        <v>127</v>
      </c>
      <c r="J19" s="131">
        <v>9439.09</v>
      </c>
      <c r="K19" s="131">
        <v>2976.85</v>
      </c>
      <c r="L19" s="130" t="s">
        <v>147</v>
      </c>
      <c r="M19" s="140">
        <f>+Baza_podataka[[#This Row],[Klikovi]]/Baza_podataka[[#This Row],[Prikazi]]</f>
        <v>0.14717872968980797</v>
      </c>
      <c r="N19" s="139">
        <f>+Baza_podataka[[#This Row],[Prihod]]/Baza_podataka[[#This Row],[Trošak oglasa]]</f>
        <v>3.1708315837210477</v>
      </c>
      <c r="O19" s="141">
        <f>+Baza_podataka[[#This Row],[Trošak oglasa]]/Baza_podataka[[#This Row],[Prihod]]</f>
        <v>0.31537468124575568</v>
      </c>
    </row>
    <row r="20" spans="2:15" x14ac:dyDescent="0.3">
      <c r="B20" s="129">
        <v>45532</v>
      </c>
      <c r="C20" s="130" t="s">
        <v>458</v>
      </c>
      <c r="D20" s="130" t="s">
        <v>444</v>
      </c>
      <c r="E20" s="130" t="s">
        <v>448</v>
      </c>
      <c r="F20" s="130">
        <v>43591</v>
      </c>
      <c r="G20" s="130">
        <v>1548</v>
      </c>
      <c r="H20" s="130">
        <v>2166</v>
      </c>
      <c r="I20" s="130">
        <v>73</v>
      </c>
      <c r="J20" s="131">
        <v>6432.33</v>
      </c>
      <c r="K20" s="131">
        <v>2211.83</v>
      </c>
      <c r="L20" s="130" t="s">
        <v>147</v>
      </c>
      <c r="M20" s="140">
        <f>+Baza_podataka[[#This Row],[Klikovi]]/Baza_podataka[[#This Row],[Prikazi]]</f>
        <v>3.5511917597669244E-2</v>
      </c>
      <c r="N20" s="139">
        <f>+Baza_podataka[[#This Row],[Prihod]]/Baza_podataka[[#This Row],[Trošak oglasa]]</f>
        <v>2.9081484562556796</v>
      </c>
      <c r="O20" s="141">
        <f>+Baza_podataka[[#This Row],[Trošak oglasa]]/Baza_podataka[[#This Row],[Prihod]]</f>
        <v>0.34386140014582584</v>
      </c>
    </row>
    <row r="21" spans="2:15" x14ac:dyDescent="0.3">
      <c r="B21" s="129">
        <v>45437</v>
      </c>
      <c r="C21" s="130" t="s">
        <v>461</v>
      </c>
      <c r="D21" s="130" t="s">
        <v>444</v>
      </c>
      <c r="E21" s="130" t="s">
        <v>447</v>
      </c>
      <c r="F21" s="130">
        <v>17997</v>
      </c>
      <c r="G21" s="130">
        <v>247</v>
      </c>
      <c r="H21" s="130">
        <v>3351</v>
      </c>
      <c r="I21" s="130">
        <v>119</v>
      </c>
      <c r="J21" s="131">
        <v>1081.0999999999999</v>
      </c>
      <c r="K21" s="131">
        <v>1247.04</v>
      </c>
      <c r="L21" s="130" t="s">
        <v>146</v>
      </c>
      <c r="M21" s="140">
        <f>+Baza_podataka[[#This Row],[Klikovi]]/Baza_podataka[[#This Row],[Prikazi]]</f>
        <v>1.3724509640495638E-2</v>
      </c>
      <c r="N21" s="139">
        <f>+Baza_podataka[[#This Row],[Prihod]]/Baza_podataka[[#This Row],[Trošak oglasa]]</f>
        <v>0.8669328971003335</v>
      </c>
      <c r="O21" s="141">
        <f>+Baza_podataka[[#This Row],[Trošak oglasa]]/Baza_podataka[[#This Row],[Prihod]]</f>
        <v>1.1534918138932568</v>
      </c>
    </row>
    <row r="22" spans="2:15" x14ac:dyDescent="0.3">
      <c r="B22" s="129">
        <v>45629</v>
      </c>
      <c r="C22" s="130" t="s">
        <v>460</v>
      </c>
      <c r="D22" s="130" t="s">
        <v>462</v>
      </c>
      <c r="E22" s="130" t="s">
        <v>448</v>
      </c>
      <c r="F22" s="130">
        <v>32998</v>
      </c>
      <c r="G22" s="130">
        <v>711</v>
      </c>
      <c r="H22" s="130">
        <v>3307</v>
      </c>
      <c r="I22" s="130">
        <v>189</v>
      </c>
      <c r="J22" s="131">
        <v>1532.81</v>
      </c>
      <c r="K22" s="131">
        <v>1519.92</v>
      </c>
      <c r="L22" s="130" t="s">
        <v>147</v>
      </c>
      <c r="M22" s="140">
        <f>+Baza_podataka[[#This Row],[Klikovi]]/Baza_podataka[[#This Row],[Prikazi]]</f>
        <v>2.15467604097218E-2</v>
      </c>
      <c r="N22" s="139">
        <f>+Baza_podataka[[#This Row],[Prihod]]/Baza_podataka[[#This Row],[Trošak oglasa]]</f>
        <v>1.0084807095110269</v>
      </c>
      <c r="O22" s="141">
        <f>+Baza_podataka[[#This Row],[Trošak oglasa]]/Baza_podataka[[#This Row],[Prihod]]</f>
        <v>0.99159060809885124</v>
      </c>
    </row>
    <row r="23" spans="2:15" x14ac:dyDescent="0.3">
      <c r="B23" s="129">
        <v>45372</v>
      </c>
      <c r="C23" s="130" t="s">
        <v>459</v>
      </c>
      <c r="D23" s="130" t="s">
        <v>462</v>
      </c>
      <c r="E23" s="130" t="s">
        <v>453</v>
      </c>
      <c r="F23" s="130">
        <v>23145</v>
      </c>
      <c r="G23" s="130">
        <v>414</v>
      </c>
      <c r="H23" s="130">
        <v>2598</v>
      </c>
      <c r="I23" s="130">
        <v>23</v>
      </c>
      <c r="J23" s="131">
        <v>6599.62</v>
      </c>
      <c r="K23" s="131">
        <v>1377.54</v>
      </c>
      <c r="L23" s="130" t="s">
        <v>146</v>
      </c>
      <c r="M23" s="140">
        <f>+Baza_podataka[[#This Row],[Klikovi]]/Baza_podataka[[#This Row],[Prikazi]]</f>
        <v>1.7887232663642255E-2</v>
      </c>
      <c r="N23" s="139">
        <f>+Baza_podataka[[#This Row],[Prihod]]/Baza_podataka[[#This Row],[Trošak oglasa]]</f>
        <v>4.7908735862479492</v>
      </c>
      <c r="O23" s="141">
        <f>+Baza_podataka[[#This Row],[Trošak oglasa]]/Baza_podataka[[#This Row],[Prihod]]</f>
        <v>0.20873019961755374</v>
      </c>
    </row>
    <row r="24" spans="2:15" x14ac:dyDescent="0.3">
      <c r="B24" s="129">
        <v>45405</v>
      </c>
      <c r="C24" s="130" t="s">
        <v>461</v>
      </c>
      <c r="D24" s="130" t="s">
        <v>450</v>
      </c>
      <c r="E24" s="130" t="s">
        <v>452</v>
      </c>
      <c r="F24" s="130">
        <v>19193</v>
      </c>
      <c r="G24" s="130">
        <v>2643</v>
      </c>
      <c r="H24" s="130">
        <v>3097</v>
      </c>
      <c r="I24" s="130">
        <v>85</v>
      </c>
      <c r="J24" s="131">
        <v>2945.28</v>
      </c>
      <c r="K24" s="131">
        <v>1412.66</v>
      </c>
      <c r="L24" s="130" t="s">
        <v>147</v>
      </c>
      <c r="M24" s="140">
        <f>+Baza_podataka[[#This Row],[Klikovi]]/Baza_podataka[[#This Row],[Prikazi]]</f>
        <v>0.13770645547855989</v>
      </c>
      <c r="N24" s="139">
        <f>+Baza_podataka[[#This Row],[Prihod]]/Baza_podataka[[#This Row],[Trošak oglasa]]</f>
        <v>2.0849178146192289</v>
      </c>
      <c r="O24" s="141">
        <f>+Baza_podataka[[#This Row],[Trošak oglasa]]/Baza_podataka[[#This Row],[Prihod]]</f>
        <v>0.4796352129508909</v>
      </c>
    </row>
    <row r="25" spans="2:15" x14ac:dyDescent="0.3">
      <c r="B25" s="129">
        <v>45592</v>
      </c>
      <c r="C25" s="130" t="s">
        <v>461</v>
      </c>
      <c r="D25" s="130" t="s">
        <v>454</v>
      </c>
      <c r="E25" s="130" t="s">
        <v>452</v>
      </c>
      <c r="F25" s="130">
        <v>28617</v>
      </c>
      <c r="G25" s="130">
        <v>1483</v>
      </c>
      <c r="H25" s="130">
        <v>1050</v>
      </c>
      <c r="I25" s="130">
        <v>74</v>
      </c>
      <c r="J25" s="131">
        <v>3426.9</v>
      </c>
      <c r="K25" s="131">
        <v>461.07</v>
      </c>
      <c r="L25" s="130" t="s">
        <v>147</v>
      </c>
      <c r="M25" s="140">
        <f>+Baza_podataka[[#This Row],[Klikovi]]/Baza_podataka[[#This Row],[Prikazi]]</f>
        <v>5.182234336233707E-2</v>
      </c>
      <c r="N25" s="139">
        <f>+Baza_podataka[[#This Row],[Prihod]]/Baza_podataka[[#This Row],[Trošak oglasa]]</f>
        <v>7.4324939813911124</v>
      </c>
      <c r="O25" s="141">
        <f>+Baza_podataka[[#This Row],[Trošak oglasa]]/Baza_podataka[[#This Row],[Prihod]]</f>
        <v>0.13454434036592838</v>
      </c>
    </row>
    <row r="26" spans="2:15" x14ac:dyDescent="0.3">
      <c r="B26" s="129">
        <v>45330</v>
      </c>
      <c r="C26" s="130" t="s">
        <v>464</v>
      </c>
      <c r="D26" s="130" t="s">
        <v>450</v>
      </c>
      <c r="E26" s="130" t="s">
        <v>448</v>
      </c>
      <c r="F26" s="130">
        <v>34052</v>
      </c>
      <c r="G26" s="130">
        <v>1295</v>
      </c>
      <c r="H26" s="130">
        <v>2489</v>
      </c>
      <c r="I26" s="130">
        <v>139</v>
      </c>
      <c r="J26" s="131">
        <v>7849.84</v>
      </c>
      <c r="K26" s="131">
        <v>1835.8</v>
      </c>
      <c r="L26" s="130" t="s">
        <v>146</v>
      </c>
      <c r="M26" s="140">
        <f>+Baza_podataka[[#This Row],[Klikovi]]/Baza_podataka[[#This Row],[Prikazi]]</f>
        <v>3.8030071655115703E-2</v>
      </c>
      <c r="N26" s="139">
        <f>+Baza_podataka[[#This Row],[Prihod]]/Baza_podataka[[#This Row],[Trošak oglasa]]</f>
        <v>4.2759777753567931</v>
      </c>
      <c r="O26" s="141">
        <f>+Baza_podataka[[#This Row],[Trošak oglasa]]/Baza_podataka[[#This Row],[Prihod]]</f>
        <v>0.23386463927927192</v>
      </c>
    </row>
    <row r="27" spans="2:15" x14ac:dyDescent="0.3">
      <c r="B27" s="129">
        <v>45576</v>
      </c>
      <c r="C27" s="130" t="s">
        <v>461</v>
      </c>
      <c r="D27" s="130" t="s">
        <v>462</v>
      </c>
      <c r="E27" s="130" t="s">
        <v>447</v>
      </c>
      <c r="F27" s="130">
        <v>27779</v>
      </c>
      <c r="G27" s="130">
        <v>2012</v>
      </c>
      <c r="H27" s="130">
        <v>1941</v>
      </c>
      <c r="I27" s="130">
        <v>40</v>
      </c>
      <c r="J27" s="131">
        <v>3803.36</v>
      </c>
      <c r="K27" s="131">
        <v>2545.7600000000002</v>
      </c>
      <c r="L27" s="130" t="s">
        <v>146</v>
      </c>
      <c r="M27" s="140">
        <f>+Baza_podataka[[#This Row],[Klikovi]]/Baza_podataka[[#This Row],[Prikazi]]</f>
        <v>7.2428813132222186E-2</v>
      </c>
      <c r="N27" s="139">
        <f>+Baza_podataka[[#This Row],[Prihod]]/Baza_podataka[[#This Row],[Trošak oglasa]]</f>
        <v>1.4939978631135691</v>
      </c>
      <c r="O27" s="141">
        <f>+Baza_podataka[[#This Row],[Trošak oglasa]]/Baza_podataka[[#This Row],[Prihod]]</f>
        <v>0.66934500021034038</v>
      </c>
    </row>
    <row r="28" spans="2:15" x14ac:dyDescent="0.3">
      <c r="B28" s="129">
        <v>45305</v>
      </c>
      <c r="C28" s="130" t="s">
        <v>459</v>
      </c>
      <c r="D28" s="130" t="s">
        <v>446</v>
      </c>
      <c r="E28" s="130" t="s">
        <v>447</v>
      </c>
      <c r="F28" s="130">
        <v>47609</v>
      </c>
      <c r="G28" s="130">
        <v>2443</v>
      </c>
      <c r="H28" s="130">
        <v>2258</v>
      </c>
      <c r="I28" s="130">
        <v>75</v>
      </c>
      <c r="J28" s="131">
        <v>3507.5</v>
      </c>
      <c r="K28" s="131">
        <v>2870.7</v>
      </c>
      <c r="L28" s="130" t="s">
        <v>147</v>
      </c>
      <c r="M28" s="140">
        <f>+Baza_podataka[[#This Row],[Klikovi]]/Baza_podataka[[#This Row],[Prikazi]]</f>
        <v>5.13138272175429E-2</v>
      </c>
      <c r="N28" s="139">
        <f>+Baza_podataka[[#This Row],[Prihod]]/Baza_podataka[[#This Row],[Trošak oglasa]]</f>
        <v>1.2218274288501063</v>
      </c>
      <c r="O28" s="141">
        <f>+Baza_podataka[[#This Row],[Trošak oglasa]]/Baza_podataka[[#This Row],[Prihod]]</f>
        <v>0.8184461867426942</v>
      </c>
    </row>
    <row r="29" spans="2:15" x14ac:dyDescent="0.3">
      <c r="B29" s="129">
        <v>45620</v>
      </c>
      <c r="C29" s="130" t="s">
        <v>463</v>
      </c>
      <c r="D29" s="130" t="s">
        <v>451</v>
      </c>
      <c r="E29" s="130" t="s">
        <v>448</v>
      </c>
      <c r="F29" s="130">
        <v>21303</v>
      </c>
      <c r="G29" s="130">
        <v>1486</v>
      </c>
      <c r="H29" s="130">
        <v>1926</v>
      </c>
      <c r="I29" s="130">
        <v>194</v>
      </c>
      <c r="J29" s="131">
        <v>6436.93</v>
      </c>
      <c r="K29" s="131">
        <v>2962.88</v>
      </c>
      <c r="L29" s="130" t="s">
        <v>147</v>
      </c>
      <c r="M29" s="140">
        <f>+Baza_podataka[[#This Row],[Klikovi]]/Baza_podataka[[#This Row],[Prikazi]]</f>
        <v>6.9755433507017794E-2</v>
      </c>
      <c r="N29" s="139">
        <f>+Baza_podataka[[#This Row],[Prihod]]/Baza_podataka[[#This Row],[Trošak oglasa]]</f>
        <v>2.1725247056917594</v>
      </c>
      <c r="O29" s="141">
        <f>+Baza_podataka[[#This Row],[Trošak oglasa]]/Baza_podataka[[#This Row],[Prihod]]</f>
        <v>0.46029396000888623</v>
      </c>
    </row>
    <row r="30" spans="2:15" x14ac:dyDescent="0.3">
      <c r="B30" s="129">
        <v>45514</v>
      </c>
      <c r="C30" s="130" t="s">
        <v>461</v>
      </c>
      <c r="D30" s="130" t="s">
        <v>454</v>
      </c>
      <c r="E30" s="130" t="s">
        <v>447</v>
      </c>
      <c r="F30" s="130">
        <v>21772</v>
      </c>
      <c r="G30" s="130">
        <v>1380</v>
      </c>
      <c r="H30" s="130">
        <v>40</v>
      </c>
      <c r="I30" s="130">
        <v>184</v>
      </c>
      <c r="J30" s="131">
        <v>5527.94</v>
      </c>
      <c r="K30" s="131">
        <v>368.83</v>
      </c>
      <c r="L30" s="130" t="s">
        <v>146</v>
      </c>
      <c r="M30" s="140">
        <f>+Baza_podataka[[#This Row],[Klikovi]]/Baza_podataka[[#This Row],[Prikazi]]</f>
        <v>6.3384163145324274E-2</v>
      </c>
      <c r="N30" s="139">
        <f>+Baza_podataka[[#This Row],[Prihod]]/Baza_podataka[[#This Row],[Trošak oglasa]]</f>
        <v>14.987772144348344</v>
      </c>
      <c r="O30" s="141">
        <f>+Baza_podataka[[#This Row],[Trošak oglasa]]/Baza_podataka[[#This Row],[Prihod]]</f>
        <v>6.6721057030286149E-2</v>
      </c>
    </row>
    <row r="31" spans="2:15" x14ac:dyDescent="0.3">
      <c r="B31" s="129">
        <v>45509</v>
      </c>
      <c r="C31" s="130" t="s">
        <v>463</v>
      </c>
      <c r="D31" s="130" t="s">
        <v>454</v>
      </c>
      <c r="E31" s="130" t="s">
        <v>445</v>
      </c>
      <c r="F31" s="130">
        <v>44268</v>
      </c>
      <c r="G31" s="130">
        <v>2233</v>
      </c>
      <c r="H31" s="130">
        <v>401</v>
      </c>
      <c r="I31" s="130">
        <v>34</v>
      </c>
      <c r="J31" s="131">
        <v>9743.34</v>
      </c>
      <c r="K31" s="131">
        <v>405.73</v>
      </c>
      <c r="L31" s="130" t="s">
        <v>146</v>
      </c>
      <c r="M31" s="140">
        <f>+Baza_podataka[[#This Row],[Klikovi]]/Baza_podataka[[#This Row],[Prikazi]]</f>
        <v>5.0442757748260597E-2</v>
      </c>
      <c r="N31" s="139">
        <f>+Baza_podataka[[#This Row],[Prihod]]/Baza_podataka[[#This Row],[Trošak oglasa]]</f>
        <v>24.01434451482513</v>
      </c>
      <c r="O31" s="141">
        <f>+Baza_podataka[[#This Row],[Trošak oglasa]]/Baza_podataka[[#This Row],[Prihod]]</f>
        <v>4.1641777870832793E-2</v>
      </c>
    </row>
    <row r="32" spans="2:15" x14ac:dyDescent="0.3">
      <c r="B32" s="129">
        <v>45386</v>
      </c>
      <c r="C32" s="130" t="s">
        <v>459</v>
      </c>
      <c r="D32" s="130" t="s">
        <v>462</v>
      </c>
      <c r="E32" s="130" t="s">
        <v>453</v>
      </c>
      <c r="F32" s="130">
        <v>30266</v>
      </c>
      <c r="G32" s="130">
        <v>1623</v>
      </c>
      <c r="H32" s="130">
        <v>225</v>
      </c>
      <c r="I32" s="130">
        <v>108</v>
      </c>
      <c r="J32" s="131">
        <v>5353.36</v>
      </c>
      <c r="K32" s="131">
        <v>971.15</v>
      </c>
      <c r="L32" s="130" t="s">
        <v>147</v>
      </c>
      <c r="M32" s="140">
        <f>+Baza_podataka[[#This Row],[Klikovi]]/Baza_podataka[[#This Row],[Prikazi]]</f>
        <v>5.3624529174651422E-2</v>
      </c>
      <c r="N32" s="139">
        <f>+Baza_podataka[[#This Row],[Prihod]]/Baza_podataka[[#This Row],[Trošak oglasa]]</f>
        <v>5.5123925243268292</v>
      </c>
      <c r="O32" s="141">
        <f>+Baza_podataka[[#This Row],[Trošak oglasa]]/Baza_podataka[[#This Row],[Prihod]]</f>
        <v>0.18140943258065964</v>
      </c>
    </row>
    <row r="33" spans="2:15" x14ac:dyDescent="0.3">
      <c r="B33" s="129">
        <v>45394</v>
      </c>
      <c r="C33" s="130" t="s">
        <v>459</v>
      </c>
      <c r="D33" s="130" t="s">
        <v>454</v>
      </c>
      <c r="E33" s="130" t="s">
        <v>448</v>
      </c>
      <c r="F33" s="130">
        <v>9931</v>
      </c>
      <c r="G33" s="130">
        <v>1747</v>
      </c>
      <c r="H33" s="130">
        <v>2482</v>
      </c>
      <c r="I33" s="130">
        <v>22</v>
      </c>
      <c r="J33" s="131">
        <v>2259.89</v>
      </c>
      <c r="K33" s="131">
        <v>2669.16</v>
      </c>
      <c r="L33" s="130" t="s">
        <v>147</v>
      </c>
      <c r="M33" s="140">
        <f>+Baza_podataka[[#This Row],[Klikovi]]/Baza_podataka[[#This Row],[Prikazi]]</f>
        <v>0.17591380525626826</v>
      </c>
      <c r="N33" s="139">
        <f>+Baza_podataka[[#This Row],[Prihod]]/Baza_podataka[[#This Row],[Trošak oglasa]]</f>
        <v>0.84666711624630975</v>
      </c>
      <c r="O33" s="141">
        <f>+Baza_podataka[[#This Row],[Trošak oglasa]]/Baza_podataka[[#This Row],[Prihod]]</f>
        <v>1.1811017350402011</v>
      </c>
    </row>
    <row r="34" spans="2:15" x14ac:dyDescent="0.3">
      <c r="B34" s="129">
        <v>45391</v>
      </c>
      <c r="C34" s="130" t="s">
        <v>463</v>
      </c>
      <c r="D34" s="130" t="s">
        <v>454</v>
      </c>
      <c r="E34" s="130" t="s">
        <v>445</v>
      </c>
      <c r="F34" s="130">
        <v>38315</v>
      </c>
      <c r="G34" s="130">
        <v>1529</v>
      </c>
      <c r="H34" s="130">
        <v>1155</v>
      </c>
      <c r="I34" s="130">
        <v>95</v>
      </c>
      <c r="J34" s="131">
        <v>5331.39</v>
      </c>
      <c r="K34" s="131">
        <v>2020.49</v>
      </c>
      <c r="L34" s="130" t="s">
        <v>147</v>
      </c>
      <c r="M34" s="140">
        <f>+Baza_podataka[[#This Row],[Klikovi]]/Baza_podataka[[#This Row],[Prikazi]]</f>
        <v>3.9906042020096566E-2</v>
      </c>
      <c r="N34" s="139">
        <f>+Baza_podataka[[#This Row],[Prihod]]/Baza_podataka[[#This Row],[Trošak oglasa]]</f>
        <v>2.6386619087449086</v>
      </c>
      <c r="O34" s="141">
        <f>+Baza_podataka[[#This Row],[Trošak oglasa]]/Baza_podataka[[#This Row],[Prihod]]</f>
        <v>0.3789799658250475</v>
      </c>
    </row>
    <row r="35" spans="2:15" x14ac:dyDescent="0.3">
      <c r="B35" s="129">
        <v>45497</v>
      </c>
      <c r="C35" s="130" t="s">
        <v>460</v>
      </c>
      <c r="D35" s="130" t="s">
        <v>462</v>
      </c>
      <c r="E35" s="130" t="s">
        <v>443</v>
      </c>
      <c r="F35" s="130">
        <v>34788</v>
      </c>
      <c r="G35" s="130">
        <v>1105</v>
      </c>
      <c r="H35" s="130">
        <v>567</v>
      </c>
      <c r="I35" s="130">
        <v>91</v>
      </c>
      <c r="J35" s="131">
        <v>4994.54</v>
      </c>
      <c r="K35" s="131">
        <v>27.79</v>
      </c>
      <c r="L35" s="130" t="s">
        <v>146</v>
      </c>
      <c r="M35" s="140">
        <f>+Baza_podataka[[#This Row],[Klikovi]]/Baza_podataka[[#This Row],[Prikazi]]</f>
        <v>3.1763826606875933E-2</v>
      </c>
      <c r="N35" s="139">
        <f>+Baza_podataka[[#This Row],[Prihod]]/Baza_podataka[[#This Row],[Trošak oglasa]]</f>
        <v>179.72436128103635</v>
      </c>
      <c r="O35" s="141">
        <f>+Baza_podataka[[#This Row],[Trošak oglasa]]/Baza_podataka[[#This Row],[Prihod]]</f>
        <v>5.5640759709602887E-3</v>
      </c>
    </row>
    <row r="36" spans="2:15" x14ac:dyDescent="0.3">
      <c r="B36" s="129">
        <v>45435</v>
      </c>
      <c r="C36" s="130" t="s">
        <v>461</v>
      </c>
      <c r="D36" s="130" t="s">
        <v>462</v>
      </c>
      <c r="E36" s="130" t="s">
        <v>443</v>
      </c>
      <c r="F36" s="130">
        <v>46687</v>
      </c>
      <c r="G36" s="130">
        <v>479</v>
      </c>
      <c r="H36" s="130">
        <v>2016</v>
      </c>
      <c r="I36" s="130">
        <v>133</v>
      </c>
      <c r="J36" s="131">
        <v>8477.2900000000009</v>
      </c>
      <c r="K36" s="131">
        <v>2005.22</v>
      </c>
      <c r="L36" s="130" t="s">
        <v>146</v>
      </c>
      <c r="M36" s="140">
        <f>+Baza_podataka[[#This Row],[Klikovi]]/Baza_podataka[[#This Row],[Prikazi]]</f>
        <v>1.0259815366161886E-2</v>
      </c>
      <c r="N36" s="139">
        <f>+Baza_podataka[[#This Row],[Prihod]]/Baza_podataka[[#This Row],[Trošak oglasa]]</f>
        <v>4.2276109354584541</v>
      </c>
      <c r="O36" s="141">
        <f>+Baza_podataka[[#This Row],[Trošak oglasa]]/Baza_podataka[[#This Row],[Prihod]]</f>
        <v>0.23654021509232312</v>
      </c>
    </row>
    <row r="37" spans="2:15" x14ac:dyDescent="0.3">
      <c r="B37" s="129">
        <v>45369</v>
      </c>
      <c r="C37" s="130" t="s">
        <v>458</v>
      </c>
      <c r="D37" s="130" t="s">
        <v>462</v>
      </c>
      <c r="E37" s="130" t="s">
        <v>445</v>
      </c>
      <c r="F37" s="130">
        <v>572</v>
      </c>
      <c r="G37" s="130">
        <v>675</v>
      </c>
      <c r="H37" s="130">
        <v>2303</v>
      </c>
      <c r="I37" s="130">
        <v>95</v>
      </c>
      <c r="J37" s="131">
        <v>9939.4</v>
      </c>
      <c r="K37" s="131">
        <v>376.75</v>
      </c>
      <c r="L37" s="130" t="s">
        <v>146</v>
      </c>
      <c r="M37" s="140">
        <f>+Baza_podataka[[#This Row],[Klikovi]]/Baza_podataka[[#This Row],[Prikazi]]</f>
        <v>1.18006993006993</v>
      </c>
      <c r="N37" s="139">
        <f>+Baza_podataka[[#This Row],[Prihod]]/Baza_podataka[[#This Row],[Trošak oglasa]]</f>
        <v>26.381950895819507</v>
      </c>
      <c r="O37" s="141">
        <f>+Baza_podataka[[#This Row],[Trošak oglasa]]/Baza_podataka[[#This Row],[Prihod]]</f>
        <v>3.7904702497132625E-2</v>
      </c>
    </row>
    <row r="38" spans="2:15" x14ac:dyDescent="0.3">
      <c r="B38" s="129">
        <v>45555</v>
      </c>
      <c r="C38" s="130" t="s">
        <v>463</v>
      </c>
      <c r="D38" s="130" t="s">
        <v>451</v>
      </c>
      <c r="E38" s="130" t="s">
        <v>449</v>
      </c>
      <c r="F38" s="130">
        <v>7241</v>
      </c>
      <c r="G38" s="130">
        <v>581</v>
      </c>
      <c r="H38" s="130">
        <v>1712</v>
      </c>
      <c r="I38" s="130">
        <v>135</v>
      </c>
      <c r="J38" s="131">
        <v>445.91</v>
      </c>
      <c r="K38" s="131">
        <v>359.14</v>
      </c>
      <c r="L38" s="130" t="s">
        <v>147</v>
      </c>
      <c r="M38" s="140">
        <f>+Baza_podataka[[#This Row],[Klikovi]]/Baza_podataka[[#This Row],[Prikazi]]</f>
        <v>8.0237536251898903E-2</v>
      </c>
      <c r="N38" s="139">
        <f>+Baza_podataka[[#This Row],[Prihod]]/Baza_podataka[[#This Row],[Trošak oglasa]]</f>
        <v>1.2416049451467395</v>
      </c>
      <c r="O38" s="141">
        <f>+Baza_podataka[[#This Row],[Trošak oglasa]]/Baza_podataka[[#This Row],[Prihod]]</f>
        <v>0.80540916328407075</v>
      </c>
    </row>
    <row r="39" spans="2:15" x14ac:dyDescent="0.3">
      <c r="B39" s="129">
        <v>45556</v>
      </c>
      <c r="C39" s="130" t="s">
        <v>463</v>
      </c>
      <c r="D39" s="130" t="s">
        <v>446</v>
      </c>
      <c r="E39" s="130" t="s">
        <v>448</v>
      </c>
      <c r="F39" s="130">
        <v>36289</v>
      </c>
      <c r="G39" s="130">
        <v>1681</v>
      </c>
      <c r="H39" s="130">
        <v>318</v>
      </c>
      <c r="I39" s="130">
        <v>118</v>
      </c>
      <c r="J39" s="131">
        <v>2973.35</v>
      </c>
      <c r="K39" s="131">
        <v>208.49</v>
      </c>
      <c r="L39" s="130" t="s">
        <v>147</v>
      </c>
      <c r="M39" s="140">
        <f>+Baza_podataka[[#This Row],[Klikovi]]/Baza_podataka[[#This Row],[Prikazi]]</f>
        <v>4.6322577089476152E-2</v>
      </c>
      <c r="N39" s="139">
        <f>+Baza_podataka[[#This Row],[Prihod]]/Baza_podataka[[#This Row],[Trošak oglasa]]</f>
        <v>14.261355460693558</v>
      </c>
      <c r="O39" s="141">
        <f>+Baza_podataka[[#This Row],[Trošak oglasa]]/Baza_podataka[[#This Row],[Prihod]]</f>
        <v>7.011956211007786E-2</v>
      </c>
    </row>
    <row r="40" spans="2:15" x14ac:dyDescent="0.3">
      <c r="B40" s="129">
        <v>45582</v>
      </c>
      <c r="C40" s="130" t="s">
        <v>458</v>
      </c>
      <c r="D40" s="130" t="s">
        <v>462</v>
      </c>
      <c r="E40" s="130" t="s">
        <v>443</v>
      </c>
      <c r="F40" s="130">
        <v>21069</v>
      </c>
      <c r="G40" s="130">
        <v>1667</v>
      </c>
      <c r="H40" s="130">
        <v>719</v>
      </c>
      <c r="I40" s="130">
        <v>72</v>
      </c>
      <c r="J40" s="131">
        <v>6458.37</v>
      </c>
      <c r="K40" s="131">
        <v>1587.23</v>
      </c>
      <c r="L40" s="130" t="s">
        <v>146</v>
      </c>
      <c r="M40" s="140">
        <f>+Baza_podataka[[#This Row],[Klikovi]]/Baza_podataka[[#This Row],[Prikazi]]</f>
        <v>7.9120983435378989E-2</v>
      </c>
      <c r="N40" s="139">
        <f>+Baza_podataka[[#This Row],[Prihod]]/Baza_podataka[[#This Row],[Trošak oglasa]]</f>
        <v>4.0689566099431085</v>
      </c>
      <c r="O40" s="141">
        <f>+Baza_podataka[[#This Row],[Trošak oglasa]]/Baza_podataka[[#This Row],[Prihod]]</f>
        <v>0.24576324986025885</v>
      </c>
    </row>
    <row r="41" spans="2:15" x14ac:dyDescent="0.3">
      <c r="B41" s="129">
        <v>45358</v>
      </c>
      <c r="C41" s="130" t="s">
        <v>459</v>
      </c>
      <c r="D41" s="130" t="s">
        <v>446</v>
      </c>
      <c r="E41" s="130" t="s">
        <v>447</v>
      </c>
      <c r="F41" s="130">
        <v>5808</v>
      </c>
      <c r="G41" s="130">
        <v>219</v>
      </c>
      <c r="H41" s="130">
        <v>3478</v>
      </c>
      <c r="I41" s="130">
        <v>162</v>
      </c>
      <c r="J41" s="131">
        <v>4119.37</v>
      </c>
      <c r="K41" s="131">
        <v>2341.17</v>
      </c>
      <c r="L41" s="130" t="s">
        <v>146</v>
      </c>
      <c r="M41" s="140">
        <f>+Baza_podataka[[#This Row],[Klikovi]]/Baza_podataka[[#This Row],[Prikazi]]</f>
        <v>3.7706611570247933E-2</v>
      </c>
      <c r="N41" s="139">
        <f>+Baza_podataka[[#This Row],[Prihod]]/Baza_podataka[[#This Row],[Trošak oglasa]]</f>
        <v>1.7595347625332631</v>
      </c>
      <c r="O41" s="141">
        <f>+Baza_podataka[[#This Row],[Trošak oglasa]]/Baza_podataka[[#This Row],[Prihod]]</f>
        <v>0.56833205077475446</v>
      </c>
    </row>
    <row r="42" spans="2:15" x14ac:dyDescent="0.3">
      <c r="B42" s="129">
        <v>45513</v>
      </c>
      <c r="C42" s="130" t="s">
        <v>459</v>
      </c>
      <c r="D42" s="130" t="s">
        <v>450</v>
      </c>
      <c r="E42" s="130" t="s">
        <v>447</v>
      </c>
      <c r="F42" s="130">
        <v>39387</v>
      </c>
      <c r="G42" s="130">
        <v>1219</v>
      </c>
      <c r="H42" s="130">
        <v>2715</v>
      </c>
      <c r="I42" s="130">
        <v>3</v>
      </c>
      <c r="J42" s="131">
        <v>2913.54</v>
      </c>
      <c r="K42" s="131">
        <v>914.88</v>
      </c>
      <c r="L42" s="130" t="s">
        <v>147</v>
      </c>
      <c r="M42" s="140">
        <f>+Baza_podataka[[#This Row],[Klikovi]]/Baza_podataka[[#This Row],[Prikazi]]</f>
        <v>3.0949297991723159E-2</v>
      </c>
      <c r="N42" s="139">
        <f>+Baza_podataka[[#This Row],[Prihod]]/Baza_podataka[[#This Row],[Trošak oglasa]]</f>
        <v>3.1846143756558236</v>
      </c>
      <c r="O42" s="141">
        <f>+Baza_podataka[[#This Row],[Trošak oglasa]]/Baza_podataka[[#This Row],[Prihod]]</f>
        <v>0.31400976132127928</v>
      </c>
    </row>
    <row r="43" spans="2:15" x14ac:dyDescent="0.3">
      <c r="B43" s="129">
        <v>45598</v>
      </c>
      <c r="C43" s="130" t="s">
        <v>461</v>
      </c>
      <c r="D43" s="130" t="s">
        <v>444</v>
      </c>
      <c r="E43" s="130" t="s">
        <v>443</v>
      </c>
      <c r="F43" s="130">
        <v>17131</v>
      </c>
      <c r="G43" s="130">
        <v>2508</v>
      </c>
      <c r="H43" s="130">
        <v>2305</v>
      </c>
      <c r="I43" s="130">
        <v>156</v>
      </c>
      <c r="J43" s="131">
        <v>608.77</v>
      </c>
      <c r="K43" s="131">
        <v>1323.55</v>
      </c>
      <c r="L43" s="130" t="s">
        <v>147</v>
      </c>
      <c r="M43" s="140">
        <f>+Baza_podataka[[#This Row],[Klikovi]]/Baza_podataka[[#This Row],[Prikazi]]</f>
        <v>0.1464012608721032</v>
      </c>
      <c r="N43" s="139">
        <f>+Baza_podataka[[#This Row],[Prihod]]/Baza_podataka[[#This Row],[Trošak oglasa]]</f>
        <v>0.45995240074043292</v>
      </c>
      <c r="O43" s="141">
        <f>+Baza_podataka[[#This Row],[Trošak oglasa]]/Baza_podataka[[#This Row],[Prihod]]</f>
        <v>2.1741380159994743</v>
      </c>
    </row>
    <row r="44" spans="2:15" x14ac:dyDescent="0.3">
      <c r="B44" s="129">
        <v>45559</v>
      </c>
      <c r="C44" s="130" t="s">
        <v>460</v>
      </c>
      <c r="D44" s="130" t="s">
        <v>450</v>
      </c>
      <c r="E44" s="130" t="s">
        <v>443</v>
      </c>
      <c r="F44" s="130">
        <v>31518</v>
      </c>
      <c r="G44" s="130">
        <v>1497</v>
      </c>
      <c r="H44" s="130">
        <v>1409</v>
      </c>
      <c r="I44" s="130">
        <v>122</v>
      </c>
      <c r="J44" s="131">
        <v>1903.46</v>
      </c>
      <c r="K44" s="131">
        <v>1188.45</v>
      </c>
      <c r="L44" s="130" t="s">
        <v>146</v>
      </c>
      <c r="M44" s="140">
        <f>+Baza_podataka[[#This Row],[Klikovi]]/Baza_podataka[[#This Row],[Prikazi]]</f>
        <v>4.749666857034076E-2</v>
      </c>
      <c r="N44" s="139">
        <f>+Baza_podataka[[#This Row],[Prihod]]/Baza_podataka[[#This Row],[Trošak oglasa]]</f>
        <v>1.6016323783078801</v>
      </c>
      <c r="O44" s="141">
        <f>+Baza_podataka[[#This Row],[Trošak oglasa]]/Baza_podataka[[#This Row],[Prihod]]</f>
        <v>0.62436300211194351</v>
      </c>
    </row>
    <row r="45" spans="2:15" x14ac:dyDescent="0.3">
      <c r="B45" s="129">
        <v>45293</v>
      </c>
      <c r="C45" s="130" t="s">
        <v>463</v>
      </c>
      <c r="D45" s="130" t="s">
        <v>462</v>
      </c>
      <c r="E45" s="130" t="s">
        <v>449</v>
      </c>
      <c r="F45" s="130">
        <v>39261</v>
      </c>
      <c r="G45" s="130">
        <v>1155</v>
      </c>
      <c r="H45" s="130">
        <v>646</v>
      </c>
      <c r="I45" s="130">
        <v>84</v>
      </c>
      <c r="J45" s="131">
        <v>9539.6299999999992</v>
      </c>
      <c r="K45" s="131">
        <v>2473.69</v>
      </c>
      <c r="L45" s="130" t="s">
        <v>146</v>
      </c>
      <c r="M45" s="140">
        <f>+Baza_podataka[[#This Row],[Klikovi]]/Baza_podataka[[#This Row],[Prikazi]]</f>
        <v>2.9418506915259417E-2</v>
      </c>
      <c r="N45" s="139">
        <f>+Baza_podataka[[#This Row],[Prihod]]/Baza_podataka[[#This Row],[Trošak oglasa]]</f>
        <v>3.8564371445088104</v>
      </c>
      <c r="O45" s="141">
        <f>+Baza_podataka[[#This Row],[Trošak oglasa]]/Baza_podataka[[#This Row],[Prihod]]</f>
        <v>0.25930670267085831</v>
      </c>
    </row>
    <row r="46" spans="2:15" x14ac:dyDescent="0.3">
      <c r="B46" s="129">
        <v>45331</v>
      </c>
      <c r="C46" s="130" t="s">
        <v>460</v>
      </c>
      <c r="D46" s="130" t="s">
        <v>446</v>
      </c>
      <c r="E46" s="130" t="s">
        <v>449</v>
      </c>
      <c r="F46" s="130">
        <v>39794</v>
      </c>
      <c r="G46" s="130">
        <v>425</v>
      </c>
      <c r="H46" s="130">
        <v>1390</v>
      </c>
      <c r="I46" s="130">
        <v>185</v>
      </c>
      <c r="J46" s="131">
        <v>628.19000000000005</v>
      </c>
      <c r="K46" s="131">
        <v>2742.73</v>
      </c>
      <c r="L46" s="130" t="s">
        <v>146</v>
      </c>
      <c r="M46" s="140">
        <f>+Baza_podataka[[#This Row],[Klikovi]]/Baza_podataka[[#This Row],[Prikazi]]</f>
        <v>1.068000201035332E-2</v>
      </c>
      <c r="N46" s="139">
        <f>+Baza_podataka[[#This Row],[Prihod]]/Baza_podataka[[#This Row],[Trošak oglasa]]</f>
        <v>0.22903822104253793</v>
      </c>
      <c r="O46" s="141">
        <f>+Baza_podataka[[#This Row],[Trošak oglasa]]/Baza_podataka[[#This Row],[Prihod]]</f>
        <v>4.3660835097661534</v>
      </c>
    </row>
    <row r="47" spans="2:15" x14ac:dyDescent="0.3">
      <c r="B47" s="129">
        <v>45603</v>
      </c>
      <c r="C47" s="130" t="s">
        <v>464</v>
      </c>
      <c r="D47" s="130" t="s">
        <v>446</v>
      </c>
      <c r="E47" s="130" t="s">
        <v>452</v>
      </c>
      <c r="F47" s="130">
        <v>9805</v>
      </c>
      <c r="G47" s="130">
        <v>871</v>
      </c>
      <c r="H47" s="130">
        <v>1073</v>
      </c>
      <c r="I47" s="130">
        <v>89</v>
      </c>
      <c r="J47" s="131">
        <v>4136.21</v>
      </c>
      <c r="K47" s="131">
        <v>363.69</v>
      </c>
      <c r="L47" s="130" t="s">
        <v>146</v>
      </c>
      <c r="M47" s="140">
        <f>+Baza_podataka[[#This Row],[Klikovi]]/Baza_podataka[[#This Row],[Prikazi]]</f>
        <v>8.883222845486996E-2</v>
      </c>
      <c r="N47" s="139">
        <f>+Baza_podataka[[#This Row],[Prihod]]/Baza_podataka[[#This Row],[Trošak oglasa]]</f>
        <v>11.372899997250405</v>
      </c>
      <c r="O47" s="141">
        <f>+Baza_podataka[[#This Row],[Trošak oglasa]]/Baza_podataka[[#This Row],[Prihod]]</f>
        <v>8.7928320854115241E-2</v>
      </c>
    </row>
    <row r="48" spans="2:15" x14ac:dyDescent="0.3">
      <c r="B48" s="129">
        <v>45516</v>
      </c>
      <c r="C48" s="130" t="s">
        <v>463</v>
      </c>
      <c r="D48" s="130" t="s">
        <v>451</v>
      </c>
      <c r="E48" s="130" t="s">
        <v>447</v>
      </c>
      <c r="F48" s="130">
        <v>5230</v>
      </c>
      <c r="G48" s="130">
        <v>2487</v>
      </c>
      <c r="H48" s="130">
        <v>416</v>
      </c>
      <c r="I48" s="130">
        <v>184</v>
      </c>
      <c r="J48" s="131">
        <v>8361.7000000000007</v>
      </c>
      <c r="K48" s="131">
        <v>1894.33</v>
      </c>
      <c r="L48" s="130" t="s">
        <v>146</v>
      </c>
      <c r="M48" s="140">
        <f>+Baza_podataka[[#This Row],[Klikovi]]/Baza_podataka[[#This Row],[Prikazi]]</f>
        <v>0.47552581261950289</v>
      </c>
      <c r="N48" s="139">
        <f>+Baza_podataka[[#This Row],[Prihod]]/Baza_podataka[[#This Row],[Trošak oglasa]]</f>
        <v>4.4140672427718517</v>
      </c>
      <c r="O48" s="141">
        <f>+Baza_podataka[[#This Row],[Trošak oglasa]]/Baza_podataka[[#This Row],[Prihod]]</f>
        <v>0.22654842914718296</v>
      </c>
    </row>
    <row r="49" spans="2:15" x14ac:dyDescent="0.3">
      <c r="B49" s="129">
        <v>45434</v>
      </c>
      <c r="C49" s="130" t="s">
        <v>460</v>
      </c>
      <c r="D49" s="130" t="s">
        <v>450</v>
      </c>
      <c r="E49" s="130" t="s">
        <v>449</v>
      </c>
      <c r="F49" s="130">
        <v>23731</v>
      </c>
      <c r="G49" s="130">
        <v>2530</v>
      </c>
      <c r="H49" s="130">
        <v>1521</v>
      </c>
      <c r="I49" s="130">
        <v>63</v>
      </c>
      <c r="J49" s="131">
        <v>4641.29</v>
      </c>
      <c r="K49" s="131">
        <v>2021.33</v>
      </c>
      <c r="L49" s="130" t="s">
        <v>147</v>
      </c>
      <c r="M49" s="140">
        <f>+Baza_podataka[[#This Row],[Klikovi]]/Baza_podataka[[#This Row],[Prikazi]]</f>
        <v>0.10661160507353251</v>
      </c>
      <c r="N49" s="139">
        <f>+Baza_podataka[[#This Row],[Prihod]]/Baza_podataka[[#This Row],[Trošak oglasa]]</f>
        <v>2.296156491023237</v>
      </c>
      <c r="O49" s="141">
        <f>+Baza_podataka[[#This Row],[Trošak oglasa]]/Baza_podataka[[#This Row],[Prihod]]</f>
        <v>0.43551038612109993</v>
      </c>
    </row>
    <row r="50" spans="2:15" x14ac:dyDescent="0.3">
      <c r="B50" s="129">
        <v>45471</v>
      </c>
      <c r="C50" s="130" t="s">
        <v>458</v>
      </c>
      <c r="D50" s="130" t="s">
        <v>444</v>
      </c>
      <c r="E50" s="130" t="s">
        <v>448</v>
      </c>
      <c r="F50" s="130">
        <v>10215</v>
      </c>
      <c r="G50" s="130">
        <v>2750</v>
      </c>
      <c r="H50" s="130">
        <v>2370</v>
      </c>
      <c r="I50" s="130">
        <v>122</v>
      </c>
      <c r="J50" s="131">
        <v>6643.09</v>
      </c>
      <c r="K50" s="131">
        <v>1708.29</v>
      </c>
      <c r="L50" s="130" t="s">
        <v>146</v>
      </c>
      <c r="M50" s="140">
        <f>+Baza_podataka[[#This Row],[Klikovi]]/Baza_podataka[[#This Row],[Prikazi]]</f>
        <v>0.26921194322075381</v>
      </c>
      <c r="N50" s="139">
        <f>+Baza_podataka[[#This Row],[Prihod]]/Baza_podataka[[#This Row],[Trošak oglasa]]</f>
        <v>3.8887366899062807</v>
      </c>
      <c r="O50" s="141">
        <f>+Baza_podataka[[#This Row],[Trošak oglasa]]/Baza_podataka[[#This Row],[Prihod]]</f>
        <v>0.25715292130619938</v>
      </c>
    </row>
    <row r="51" spans="2:15" x14ac:dyDescent="0.3">
      <c r="B51" s="129">
        <v>45484</v>
      </c>
      <c r="C51" s="130" t="s">
        <v>463</v>
      </c>
      <c r="D51" s="130" t="s">
        <v>450</v>
      </c>
      <c r="E51" s="130" t="s">
        <v>443</v>
      </c>
      <c r="F51" s="130">
        <v>675</v>
      </c>
      <c r="G51" s="130">
        <v>381</v>
      </c>
      <c r="H51" s="130">
        <v>531</v>
      </c>
      <c r="I51" s="130">
        <v>173</v>
      </c>
      <c r="J51" s="131">
        <v>2240.2399999999998</v>
      </c>
      <c r="K51" s="131">
        <v>1335.3</v>
      </c>
      <c r="L51" s="130" t="s">
        <v>146</v>
      </c>
      <c r="M51" s="140">
        <f>+Baza_podataka[[#This Row],[Klikovi]]/Baza_podataka[[#This Row],[Prikazi]]</f>
        <v>0.56444444444444442</v>
      </c>
      <c r="N51" s="139">
        <f>+Baza_podataka[[#This Row],[Prihod]]/Baza_podataka[[#This Row],[Trošak oglasa]]</f>
        <v>1.6777053845577772</v>
      </c>
      <c r="O51" s="141">
        <f>+Baza_podataka[[#This Row],[Trošak oglasa]]/Baza_podataka[[#This Row],[Prihod]]</f>
        <v>0.59605220869192588</v>
      </c>
    </row>
    <row r="52" spans="2:15" x14ac:dyDescent="0.3">
      <c r="B52" s="129">
        <v>45586</v>
      </c>
      <c r="C52" s="130" t="s">
        <v>463</v>
      </c>
      <c r="D52" s="130" t="s">
        <v>454</v>
      </c>
      <c r="E52" s="130" t="s">
        <v>443</v>
      </c>
      <c r="F52" s="130">
        <v>39450</v>
      </c>
      <c r="G52" s="130">
        <v>1416</v>
      </c>
      <c r="H52" s="130">
        <v>2243</v>
      </c>
      <c r="I52" s="130">
        <v>168</v>
      </c>
      <c r="J52" s="131">
        <v>7462.79</v>
      </c>
      <c r="K52" s="131">
        <v>507.14</v>
      </c>
      <c r="L52" s="130" t="s">
        <v>146</v>
      </c>
      <c r="M52" s="140">
        <f>+Baza_podataka[[#This Row],[Klikovi]]/Baza_podataka[[#This Row],[Prikazi]]</f>
        <v>3.5893536121673002E-2</v>
      </c>
      <c r="N52" s="139">
        <f>+Baza_podataka[[#This Row],[Prihod]]/Baza_podataka[[#This Row],[Trošak oglasa]]</f>
        <v>14.715443467287139</v>
      </c>
      <c r="O52" s="141">
        <f>+Baza_podataka[[#This Row],[Trošak oglasa]]/Baza_podataka[[#This Row],[Prihod]]</f>
        <v>6.7955818132360679E-2</v>
      </c>
    </row>
    <row r="53" spans="2:15" x14ac:dyDescent="0.3">
      <c r="B53" s="129">
        <v>45352</v>
      </c>
      <c r="C53" s="130" t="s">
        <v>464</v>
      </c>
      <c r="D53" s="130" t="s">
        <v>454</v>
      </c>
      <c r="E53" s="130" t="s">
        <v>453</v>
      </c>
      <c r="F53" s="130">
        <v>48791</v>
      </c>
      <c r="G53" s="130">
        <v>697</v>
      </c>
      <c r="H53" s="130">
        <v>454</v>
      </c>
      <c r="I53" s="130">
        <v>91</v>
      </c>
      <c r="J53" s="131">
        <v>6266.31</v>
      </c>
      <c r="K53" s="131">
        <v>2457.88</v>
      </c>
      <c r="L53" s="130" t="s">
        <v>146</v>
      </c>
      <c r="M53" s="140">
        <f>+Baza_podataka[[#This Row],[Klikovi]]/Baza_podataka[[#This Row],[Prikazi]]</f>
        <v>1.4285421491668546E-2</v>
      </c>
      <c r="N53" s="139">
        <f>+Baza_podataka[[#This Row],[Prihod]]/Baza_podataka[[#This Row],[Trošak oglasa]]</f>
        <v>2.5494775985808911</v>
      </c>
      <c r="O53" s="141">
        <f>+Baza_podataka[[#This Row],[Trošak oglasa]]/Baza_podataka[[#This Row],[Prihod]]</f>
        <v>0.39223721775654252</v>
      </c>
    </row>
    <row r="54" spans="2:15" x14ac:dyDescent="0.3">
      <c r="B54" s="129">
        <v>45305</v>
      </c>
      <c r="C54" s="130" t="s">
        <v>459</v>
      </c>
      <c r="D54" s="130" t="s">
        <v>446</v>
      </c>
      <c r="E54" s="130" t="s">
        <v>448</v>
      </c>
      <c r="F54" s="130">
        <v>16177</v>
      </c>
      <c r="G54" s="130">
        <v>429</v>
      </c>
      <c r="H54" s="130">
        <v>2500</v>
      </c>
      <c r="I54" s="130">
        <v>189</v>
      </c>
      <c r="J54" s="131">
        <v>6219.26</v>
      </c>
      <c r="K54" s="131">
        <v>602.99</v>
      </c>
      <c r="L54" s="130" t="s">
        <v>146</v>
      </c>
      <c r="M54" s="140">
        <f>+Baza_podataka[[#This Row],[Klikovi]]/Baza_podataka[[#This Row],[Prikazi]]</f>
        <v>2.6519132101131236E-2</v>
      </c>
      <c r="N54" s="139">
        <f>+Baza_podataka[[#This Row],[Prihod]]/Baza_podataka[[#This Row],[Trošak oglasa]]</f>
        <v>10.314035058624521</v>
      </c>
      <c r="O54" s="141">
        <f>+Baza_podataka[[#This Row],[Trošak oglasa]]/Baza_podataka[[#This Row],[Prihod]]</f>
        <v>9.6955264774265748E-2</v>
      </c>
    </row>
    <row r="55" spans="2:15" x14ac:dyDescent="0.3">
      <c r="B55" s="129">
        <v>45555</v>
      </c>
      <c r="C55" s="130" t="s">
        <v>464</v>
      </c>
      <c r="D55" s="130" t="s">
        <v>450</v>
      </c>
      <c r="E55" s="130" t="s">
        <v>452</v>
      </c>
      <c r="F55" s="130">
        <v>44249</v>
      </c>
      <c r="G55" s="130">
        <v>104</v>
      </c>
      <c r="H55" s="130">
        <v>1055</v>
      </c>
      <c r="I55" s="130">
        <v>183</v>
      </c>
      <c r="J55" s="131">
        <v>2449.25</v>
      </c>
      <c r="K55" s="131">
        <v>791.55</v>
      </c>
      <c r="L55" s="130" t="s">
        <v>147</v>
      </c>
      <c r="M55" s="140">
        <f>+Baza_podataka[[#This Row],[Klikovi]]/Baza_podataka[[#This Row],[Prikazi]]</f>
        <v>2.3503356008045379E-3</v>
      </c>
      <c r="N55" s="139">
        <f>+Baza_podataka[[#This Row],[Prihod]]/Baza_podataka[[#This Row],[Trošak oglasa]]</f>
        <v>3.0942454677531428</v>
      </c>
      <c r="O55" s="141">
        <f>+Baza_podataka[[#This Row],[Trošak oglasa]]/Baza_podataka[[#This Row],[Prihod]]</f>
        <v>0.3231805654792283</v>
      </c>
    </row>
    <row r="56" spans="2:15" x14ac:dyDescent="0.3">
      <c r="B56" s="129">
        <v>45403</v>
      </c>
      <c r="C56" s="130" t="s">
        <v>461</v>
      </c>
      <c r="D56" s="130" t="s">
        <v>454</v>
      </c>
      <c r="E56" s="130" t="s">
        <v>453</v>
      </c>
      <c r="F56" s="130">
        <v>12569</v>
      </c>
      <c r="G56" s="130">
        <v>928</v>
      </c>
      <c r="H56" s="130">
        <v>2911</v>
      </c>
      <c r="I56" s="130">
        <v>42</v>
      </c>
      <c r="J56" s="131">
        <v>4998.79</v>
      </c>
      <c r="K56" s="131">
        <v>2558.1</v>
      </c>
      <c r="L56" s="130" t="s">
        <v>146</v>
      </c>
      <c r="M56" s="140">
        <f>+Baza_podataka[[#This Row],[Klikovi]]/Baza_podataka[[#This Row],[Prikazi]]</f>
        <v>7.3832444904129213E-2</v>
      </c>
      <c r="N56" s="139">
        <f>+Baza_podataka[[#This Row],[Prihod]]/Baza_podataka[[#This Row],[Trošak oglasa]]</f>
        <v>1.9541026543137485</v>
      </c>
      <c r="O56" s="141">
        <f>+Baza_podataka[[#This Row],[Trošak oglasa]]/Baza_podataka[[#This Row],[Prihod]]</f>
        <v>0.5117438420097663</v>
      </c>
    </row>
    <row r="57" spans="2:15" x14ac:dyDescent="0.3">
      <c r="B57" s="129">
        <v>45541</v>
      </c>
      <c r="C57" s="130" t="s">
        <v>459</v>
      </c>
      <c r="D57" s="130" t="s">
        <v>462</v>
      </c>
      <c r="E57" s="130" t="s">
        <v>448</v>
      </c>
      <c r="F57" s="130">
        <v>17271</v>
      </c>
      <c r="G57" s="130">
        <v>762</v>
      </c>
      <c r="H57" s="130">
        <v>1722</v>
      </c>
      <c r="I57" s="130">
        <v>151</v>
      </c>
      <c r="J57" s="131">
        <v>736.38</v>
      </c>
      <c r="K57" s="131">
        <v>731.74</v>
      </c>
      <c r="L57" s="130" t="s">
        <v>147</v>
      </c>
      <c r="M57" s="140">
        <f>+Baza_podataka[[#This Row],[Klikovi]]/Baza_podataka[[#This Row],[Prikazi]]</f>
        <v>4.4120201493833597E-2</v>
      </c>
      <c r="N57" s="139">
        <f>+Baza_podataka[[#This Row],[Prihod]]/Baza_podataka[[#This Row],[Trošak oglasa]]</f>
        <v>1.0063410500997623</v>
      </c>
      <c r="O57" s="141">
        <f>+Baza_podataka[[#This Row],[Trošak oglasa]]/Baza_podataka[[#This Row],[Prihod]]</f>
        <v>0.99369890545642192</v>
      </c>
    </row>
    <row r="58" spans="2:15" x14ac:dyDescent="0.3">
      <c r="B58" s="129">
        <v>45309</v>
      </c>
      <c r="C58" s="130" t="s">
        <v>461</v>
      </c>
      <c r="D58" s="130" t="s">
        <v>450</v>
      </c>
      <c r="E58" s="130" t="s">
        <v>447</v>
      </c>
      <c r="F58" s="130">
        <v>33412</v>
      </c>
      <c r="G58" s="130">
        <v>1656</v>
      </c>
      <c r="H58" s="130">
        <v>2599</v>
      </c>
      <c r="I58" s="130">
        <v>131</v>
      </c>
      <c r="J58" s="131">
        <v>4180.5600000000004</v>
      </c>
      <c r="K58" s="131">
        <v>2366.41</v>
      </c>
      <c r="L58" s="130" t="s">
        <v>146</v>
      </c>
      <c r="M58" s="140">
        <f>+Baza_podataka[[#This Row],[Klikovi]]/Baza_podataka[[#This Row],[Prikazi]]</f>
        <v>4.9563031246258826E-2</v>
      </c>
      <c r="N58" s="139">
        <f>+Baza_podataka[[#This Row],[Prihod]]/Baza_podataka[[#This Row],[Trošak oglasa]]</f>
        <v>1.7666253945850467</v>
      </c>
      <c r="O58" s="141">
        <f>+Baza_podataka[[#This Row],[Trošak oglasa]]/Baza_podataka[[#This Row],[Prihod]]</f>
        <v>0.56605095968004282</v>
      </c>
    </row>
    <row r="59" spans="2:15" x14ac:dyDescent="0.3">
      <c r="B59" s="129">
        <v>45349</v>
      </c>
      <c r="C59" s="130" t="s">
        <v>463</v>
      </c>
      <c r="D59" s="130" t="s">
        <v>451</v>
      </c>
      <c r="E59" s="130" t="s">
        <v>452</v>
      </c>
      <c r="F59" s="130">
        <v>25578</v>
      </c>
      <c r="G59" s="130">
        <v>2607</v>
      </c>
      <c r="H59" s="130">
        <v>298</v>
      </c>
      <c r="I59" s="130">
        <v>51</v>
      </c>
      <c r="J59" s="131">
        <v>3934.8</v>
      </c>
      <c r="K59" s="131">
        <v>1853.26</v>
      </c>
      <c r="L59" s="130" t="s">
        <v>146</v>
      </c>
      <c r="M59" s="140">
        <f>+Baza_podataka[[#This Row],[Klikovi]]/Baza_podataka[[#This Row],[Prikazi]]</f>
        <v>0.10192352803190241</v>
      </c>
      <c r="N59" s="139">
        <f>+Baza_podataka[[#This Row],[Prihod]]/Baza_podataka[[#This Row],[Trošak oglasa]]</f>
        <v>2.1231775358017764</v>
      </c>
      <c r="O59" s="141">
        <f>+Baza_podataka[[#This Row],[Trošak oglasa]]/Baza_podataka[[#This Row],[Prihod]]</f>
        <v>0.47099217241028768</v>
      </c>
    </row>
    <row r="60" spans="2:15" x14ac:dyDescent="0.3">
      <c r="B60" s="129">
        <v>45605</v>
      </c>
      <c r="C60" s="130" t="s">
        <v>459</v>
      </c>
      <c r="D60" s="130" t="s">
        <v>451</v>
      </c>
      <c r="E60" s="130" t="s">
        <v>443</v>
      </c>
      <c r="F60" s="130">
        <v>1238</v>
      </c>
      <c r="G60" s="130">
        <v>1229</v>
      </c>
      <c r="H60" s="130">
        <v>458</v>
      </c>
      <c r="I60" s="130">
        <v>61</v>
      </c>
      <c r="J60" s="131">
        <v>8673.89</v>
      </c>
      <c r="K60" s="131">
        <v>2338.87</v>
      </c>
      <c r="L60" s="130" t="s">
        <v>146</v>
      </c>
      <c r="M60" s="140">
        <f>+Baza_podataka[[#This Row],[Klikovi]]/Baza_podataka[[#This Row],[Prikazi]]</f>
        <v>0.99273021001615513</v>
      </c>
      <c r="N60" s="139">
        <f>+Baza_podataka[[#This Row],[Prihod]]/Baza_podataka[[#This Row],[Trošak oglasa]]</f>
        <v>3.7085814944823783</v>
      </c>
      <c r="O60" s="141">
        <f>+Baza_podataka[[#This Row],[Trošak oglasa]]/Baza_podataka[[#This Row],[Prihod]]</f>
        <v>0.2696448767508004</v>
      </c>
    </row>
    <row r="61" spans="2:15" x14ac:dyDescent="0.3">
      <c r="B61" s="129">
        <v>45314</v>
      </c>
      <c r="C61" s="130" t="s">
        <v>458</v>
      </c>
      <c r="D61" s="130" t="s">
        <v>451</v>
      </c>
      <c r="E61" s="130" t="s">
        <v>445</v>
      </c>
      <c r="F61" s="130">
        <v>3708</v>
      </c>
      <c r="G61" s="130">
        <v>2681</v>
      </c>
      <c r="H61" s="130">
        <v>2440</v>
      </c>
      <c r="I61" s="130">
        <v>91</v>
      </c>
      <c r="J61" s="131">
        <v>6465.5</v>
      </c>
      <c r="K61" s="131">
        <v>1377.48</v>
      </c>
      <c r="L61" s="130" t="s">
        <v>147</v>
      </c>
      <c r="M61" s="140">
        <f>+Baza_podataka[[#This Row],[Klikovi]]/Baza_podataka[[#This Row],[Prikazi]]</f>
        <v>0.72303128371089531</v>
      </c>
      <c r="N61" s="139">
        <f>+Baza_podataka[[#This Row],[Prihod]]/Baza_podataka[[#This Row],[Trošak oglasa]]</f>
        <v>4.6937160612132303</v>
      </c>
      <c r="O61" s="141">
        <f>+Baza_podataka[[#This Row],[Trošak oglasa]]/Baza_podataka[[#This Row],[Prihod]]</f>
        <v>0.21305080813548835</v>
      </c>
    </row>
    <row r="62" spans="2:15" x14ac:dyDescent="0.3">
      <c r="B62" s="129">
        <v>45629</v>
      </c>
      <c r="C62" s="130" t="s">
        <v>461</v>
      </c>
      <c r="D62" s="130" t="s">
        <v>450</v>
      </c>
      <c r="E62" s="130" t="s">
        <v>449</v>
      </c>
      <c r="F62" s="130">
        <v>2144</v>
      </c>
      <c r="G62" s="130">
        <v>1408</v>
      </c>
      <c r="H62" s="130">
        <v>459</v>
      </c>
      <c r="I62" s="130">
        <v>111</v>
      </c>
      <c r="J62" s="131">
        <v>5151.54</v>
      </c>
      <c r="K62" s="131">
        <v>2591.48</v>
      </c>
      <c r="L62" s="130" t="s">
        <v>147</v>
      </c>
      <c r="M62" s="140">
        <f>+Baza_podataka[[#This Row],[Klikovi]]/Baza_podataka[[#This Row],[Prikazi]]</f>
        <v>0.65671641791044777</v>
      </c>
      <c r="N62" s="139">
        <f>+Baza_podataka[[#This Row],[Prihod]]/Baza_podataka[[#This Row],[Trošak oglasa]]</f>
        <v>1.9878756540664022</v>
      </c>
      <c r="O62" s="141">
        <f>+Baza_podataka[[#This Row],[Trošak oglasa]]/Baza_podataka[[#This Row],[Prihod]]</f>
        <v>0.50304957352558655</v>
      </c>
    </row>
    <row r="63" spans="2:15" x14ac:dyDescent="0.3">
      <c r="B63" s="129">
        <v>45601</v>
      </c>
      <c r="C63" s="130" t="s">
        <v>459</v>
      </c>
      <c r="D63" s="130" t="s">
        <v>451</v>
      </c>
      <c r="E63" s="130" t="s">
        <v>453</v>
      </c>
      <c r="F63" s="130">
        <v>7802</v>
      </c>
      <c r="G63" s="130">
        <v>858</v>
      </c>
      <c r="H63" s="130">
        <v>1493</v>
      </c>
      <c r="I63" s="130">
        <v>179</v>
      </c>
      <c r="J63" s="131">
        <v>6588.16</v>
      </c>
      <c r="K63" s="131">
        <v>1947.89</v>
      </c>
      <c r="L63" s="130" t="s">
        <v>146</v>
      </c>
      <c r="M63" s="140">
        <f>+Baza_podataka[[#This Row],[Klikovi]]/Baza_podataka[[#This Row],[Prikazi]]</f>
        <v>0.10997180210202512</v>
      </c>
      <c r="N63" s="139">
        <f>+Baza_podataka[[#This Row],[Prihod]]/Baza_podataka[[#This Row],[Trošak oglasa]]</f>
        <v>3.3822033071682691</v>
      </c>
      <c r="O63" s="141">
        <f>+Baza_podataka[[#This Row],[Trošak oglasa]]/Baza_podataka[[#This Row],[Prihod]]</f>
        <v>0.29566525403147464</v>
      </c>
    </row>
    <row r="64" spans="2:15" x14ac:dyDescent="0.3">
      <c r="B64" s="129">
        <v>45456</v>
      </c>
      <c r="C64" s="130" t="s">
        <v>458</v>
      </c>
      <c r="D64" s="130" t="s">
        <v>462</v>
      </c>
      <c r="E64" s="130" t="s">
        <v>445</v>
      </c>
      <c r="F64" s="130">
        <v>9106</v>
      </c>
      <c r="G64" s="130">
        <v>1929</v>
      </c>
      <c r="H64" s="130">
        <v>1715</v>
      </c>
      <c r="I64" s="130">
        <v>35</v>
      </c>
      <c r="J64" s="131">
        <v>4624.0600000000004</v>
      </c>
      <c r="K64" s="131">
        <v>1835.81</v>
      </c>
      <c r="L64" s="130" t="s">
        <v>146</v>
      </c>
      <c r="M64" s="140">
        <f>+Baza_podataka[[#This Row],[Klikovi]]/Baza_podataka[[#This Row],[Prikazi]]</f>
        <v>0.21183834834175269</v>
      </c>
      <c r="N64" s="139">
        <f>+Baza_podataka[[#This Row],[Prihod]]/Baza_podataka[[#This Row],[Trošak oglasa]]</f>
        <v>2.5188118596151021</v>
      </c>
      <c r="O64" s="141">
        <f>+Baza_podataka[[#This Row],[Trošak oglasa]]/Baza_podataka[[#This Row],[Prihod]]</f>
        <v>0.39701258201666928</v>
      </c>
    </row>
    <row r="65" spans="2:15" x14ac:dyDescent="0.3">
      <c r="B65" s="129">
        <v>45423</v>
      </c>
      <c r="C65" s="130" t="s">
        <v>464</v>
      </c>
      <c r="D65" s="130" t="s">
        <v>462</v>
      </c>
      <c r="E65" s="130" t="s">
        <v>448</v>
      </c>
      <c r="F65" s="130">
        <v>17187</v>
      </c>
      <c r="G65" s="130">
        <v>1847</v>
      </c>
      <c r="H65" s="130">
        <v>1558</v>
      </c>
      <c r="I65" s="130">
        <v>21</v>
      </c>
      <c r="J65" s="131">
        <v>4697.21</v>
      </c>
      <c r="K65" s="131">
        <v>1777.53</v>
      </c>
      <c r="L65" s="130" t="s">
        <v>147</v>
      </c>
      <c r="M65" s="140">
        <f>+Baza_podataka[[#This Row],[Klikovi]]/Baza_podataka[[#This Row],[Prikazi]]</f>
        <v>0.10746494443474719</v>
      </c>
      <c r="N65" s="139">
        <f>+Baza_podataka[[#This Row],[Prihod]]/Baza_podataka[[#This Row],[Trošak oglasa]]</f>
        <v>2.6425489302571545</v>
      </c>
      <c r="O65" s="141">
        <f>+Baza_podataka[[#This Row],[Trošak oglasa]]/Baza_podataka[[#This Row],[Prihod]]</f>
        <v>0.37842251038382357</v>
      </c>
    </row>
    <row r="66" spans="2:15" x14ac:dyDescent="0.3">
      <c r="B66" s="129">
        <v>45378</v>
      </c>
      <c r="C66" s="130" t="s">
        <v>459</v>
      </c>
      <c r="D66" s="130" t="s">
        <v>446</v>
      </c>
      <c r="E66" s="130" t="s">
        <v>452</v>
      </c>
      <c r="F66" s="130">
        <v>14359</v>
      </c>
      <c r="G66" s="130">
        <v>1879</v>
      </c>
      <c r="H66" s="130">
        <v>1559</v>
      </c>
      <c r="I66" s="130">
        <v>151</v>
      </c>
      <c r="J66" s="131">
        <v>957.98</v>
      </c>
      <c r="K66" s="131">
        <v>2116.19</v>
      </c>
      <c r="L66" s="130" t="s">
        <v>146</v>
      </c>
      <c r="M66" s="140">
        <f>+Baza_podataka[[#This Row],[Klikovi]]/Baza_podataka[[#This Row],[Prikazi]]</f>
        <v>0.1308586948951877</v>
      </c>
      <c r="N66" s="139">
        <f>+Baza_podataka[[#This Row],[Prihod]]/Baza_podataka[[#This Row],[Trošak oglasa]]</f>
        <v>0.45269092094755198</v>
      </c>
      <c r="O66" s="141">
        <f>+Baza_podataka[[#This Row],[Trošak oglasa]]/Baza_podataka[[#This Row],[Prihod]]</f>
        <v>2.209012714252907</v>
      </c>
    </row>
    <row r="67" spans="2:15" x14ac:dyDescent="0.3">
      <c r="B67" s="129">
        <v>45635</v>
      </c>
      <c r="C67" s="130" t="s">
        <v>461</v>
      </c>
      <c r="D67" s="130" t="s">
        <v>451</v>
      </c>
      <c r="E67" s="130" t="s">
        <v>445</v>
      </c>
      <c r="F67" s="130">
        <v>42488</v>
      </c>
      <c r="G67" s="130">
        <v>453</v>
      </c>
      <c r="H67" s="130">
        <v>339</v>
      </c>
      <c r="I67" s="130">
        <v>87</v>
      </c>
      <c r="J67" s="131">
        <v>4088.38</v>
      </c>
      <c r="K67" s="131">
        <v>2146.0100000000002</v>
      </c>
      <c r="L67" s="130" t="s">
        <v>147</v>
      </c>
      <c r="M67" s="140">
        <f>+Baza_podataka[[#This Row],[Klikovi]]/Baza_podataka[[#This Row],[Prikazi]]</f>
        <v>1.0661833929580117E-2</v>
      </c>
      <c r="N67" s="139">
        <f>+Baza_podataka[[#This Row],[Prihod]]/Baza_podataka[[#This Row],[Trošak oglasa]]</f>
        <v>1.9051076183242388</v>
      </c>
      <c r="O67" s="141">
        <f>+Baza_podataka[[#This Row],[Trošak oglasa]]/Baza_podataka[[#This Row],[Prihod]]</f>
        <v>0.52490472999085214</v>
      </c>
    </row>
    <row r="68" spans="2:15" x14ac:dyDescent="0.3">
      <c r="B68" s="129">
        <v>45564</v>
      </c>
      <c r="C68" s="130" t="s">
        <v>463</v>
      </c>
      <c r="D68" s="130" t="s">
        <v>451</v>
      </c>
      <c r="E68" s="130" t="s">
        <v>452</v>
      </c>
      <c r="F68" s="130">
        <v>44091</v>
      </c>
      <c r="G68" s="130">
        <v>1379</v>
      </c>
      <c r="H68" s="130">
        <v>32</v>
      </c>
      <c r="I68" s="130">
        <v>179</v>
      </c>
      <c r="J68" s="131">
        <v>6651.96</v>
      </c>
      <c r="K68" s="131">
        <v>2292.92</v>
      </c>
      <c r="L68" s="130" t="s">
        <v>146</v>
      </c>
      <c r="M68" s="140">
        <f>+Baza_podataka[[#This Row],[Klikovi]]/Baza_podataka[[#This Row],[Prikazi]]</f>
        <v>3.1276224172733666E-2</v>
      </c>
      <c r="N68" s="139">
        <f>+Baza_podataka[[#This Row],[Prihod]]/Baza_podataka[[#This Row],[Trošak oglasa]]</f>
        <v>2.9010868237880083</v>
      </c>
      <c r="O68" s="141">
        <f>+Baza_podataka[[#This Row],[Trošak oglasa]]/Baza_podataka[[#This Row],[Prihod]]</f>
        <v>0.34469840468072571</v>
      </c>
    </row>
    <row r="69" spans="2:15" x14ac:dyDescent="0.3">
      <c r="B69" s="129">
        <v>45353</v>
      </c>
      <c r="C69" s="130" t="s">
        <v>461</v>
      </c>
      <c r="D69" s="130" t="s">
        <v>451</v>
      </c>
      <c r="E69" s="130" t="s">
        <v>448</v>
      </c>
      <c r="F69" s="130">
        <v>32421</v>
      </c>
      <c r="G69" s="130">
        <v>1000</v>
      </c>
      <c r="H69" s="130">
        <v>3294</v>
      </c>
      <c r="I69" s="130">
        <v>20</v>
      </c>
      <c r="J69" s="131">
        <v>4423.8900000000003</v>
      </c>
      <c r="K69" s="131">
        <v>1125.3599999999999</v>
      </c>
      <c r="L69" s="130" t="s">
        <v>147</v>
      </c>
      <c r="M69" s="140">
        <f>+Baza_podataka[[#This Row],[Klikovi]]/Baza_podataka[[#This Row],[Prikazi]]</f>
        <v>3.0844205915918695E-2</v>
      </c>
      <c r="N69" s="139">
        <f>+Baza_podataka[[#This Row],[Prihod]]/Baza_podataka[[#This Row],[Trošak oglasa]]</f>
        <v>3.9310887182768188</v>
      </c>
      <c r="O69" s="141">
        <f>+Baza_podataka[[#This Row],[Trošak oglasa]]/Baza_podataka[[#This Row],[Prihod]]</f>
        <v>0.2543824552599635</v>
      </c>
    </row>
    <row r="70" spans="2:15" x14ac:dyDescent="0.3">
      <c r="B70" s="129">
        <v>45614</v>
      </c>
      <c r="C70" s="130" t="s">
        <v>461</v>
      </c>
      <c r="D70" s="130" t="s">
        <v>450</v>
      </c>
      <c r="E70" s="130" t="s">
        <v>448</v>
      </c>
      <c r="F70" s="130">
        <v>35185</v>
      </c>
      <c r="G70" s="130">
        <v>1936</v>
      </c>
      <c r="H70" s="130">
        <v>492</v>
      </c>
      <c r="I70" s="130">
        <v>36</v>
      </c>
      <c r="J70" s="131">
        <v>3423.96</v>
      </c>
      <c r="K70" s="131">
        <v>1729.39</v>
      </c>
      <c r="L70" s="130" t="s">
        <v>146</v>
      </c>
      <c r="M70" s="140">
        <f>+Baza_podataka[[#This Row],[Klikovi]]/Baza_podataka[[#This Row],[Prikazi]]</f>
        <v>5.5023447491828907E-2</v>
      </c>
      <c r="N70" s="139">
        <f>+Baza_podataka[[#This Row],[Prihod]]/Baza_podataka[[#This Row],[Trošak oglasa]]</f>
        <v>1.9798657330041227</v>
      </c>
      <c r="O70" s="141">
        <f>+Baza_podataka[[#This Row],[Trošak oglasa]]/Baza_podataka[[#This Row],[Prihod]]</f>
        <v>0.50508475566303346</v>
      </c>
    </row>
    <row r="71" spans="2:15" x14ac:dyDescent="0.3">
      <c r="B71" s="129">
        <v>45605</v>
      </c>
      <c r="C71" s="130" t="s">
        <v>461</v>
      </c>
      <c r="D71" s="130" t="s">
        <v>450</v>
      </c>
      <c r="E71" s="130" t="s">
        <v>452</v>
      </c>
      <c r="F71" s="130">
        <v>49229</v>
      </c>
      <c r="G71" s="130">
        <v>866</v>
      </c>
      <c r="H71" s="130">
        <v>1391</v>
      </c>
      <c r="I71" s="130">
        <v>22</v>
      </c>
      <c r="J71" s="131">
        <v>2844.46</v>
      </c>
      <c r="K71" s="131">
        <v>2420.38</v>
      </c>
      <c r="L71" s="130" t="s">
        <v>147</v>
      </c>
      <c r="M71" s="140">
        <f>+Baza_podataka[[#This Row],[Klikovi]]/Baza_podataka[[#This Row],[Prikazi]]</f>
        <v>1.7591257185805113E-2</v>
      </c>
      <c r="N71" s="139">
        <f>+Baza_podataka[[#This Row],[Prihod]]/Baza_podataka[[#This Row],[Trošak oglasa]]</f>
        <v>1.1752121567687719</v>
      </c>
      <c r="O71" s="141">
        <f>+Baza_podataka[[#This Row],[Trošak oglasa]]/Baza_podataka[[#This Row],[Prihod]]</f>
        <v>0.85091019033489668</v>
      </c>
    </row>
    <row r="72" spans="2:15" x14ac:dyDescent="0.3">
      <c r="B72" s="129">
        <v>45403</v>
      </c>
      <c r="C72" s="130" t="s">
        <v>460</v>
      </c>
      <c r="D72" s="130" t="s">
        <v>450</v>
      </c>
      <c r="E72" s="130" t="s">
        <v>447</v>
      </c>
      <c r="F72" s="130">
        <v>24858</v>
      </c>
      <c r="G72" s="130">
        <v>1197</v>
      </c>
      <c r="H72" s="130">
        <v>1660</v>
      </c>
      <c r="I72" s="130">
        <v>164</v>
      </c>
      <c r="J72" s="131">
        <v>8039.14</v>
      </c>
      <c r="K72" s="131">
        <v>2975.3</v>
      </c>
      <c r="L72" s="130" t="s">
        <v>146</v>
      </c>
      <c r="M72" s="140">
        <f>+Baza_podataka[[#This Row],[Klikovi]]/Baza_podataka[[#This Row],[Prikazi]]</f>
        <v>4.8153511947863867E-2</v>
      </c>
      <c r="N72" s="139">
        <f>+Baza_podataka[[#This Row],[Prihod]]/Baza_podataka[[#This Row],[Trošak oglasa]]</f>
        <v>2.7019594662723088</v>
      </c>
      <c r="O72" s="141">
        <f>+Baza_podataka[[#This Row],[Trošak oglasa]]/Baza_podataka[[#This Row],[Prihod]]</f>
        <v>0.37010177705575475</v>
      </c>
    </row>
    <row r="73" spans="2:15" x14ac:dyDescent="0.3">
      <c r="B73" s="129">
        <v>45576</v>
      </c>
      <c r="C73" s="130" t="s">
        <v>460</v>
      </c>
      <c r="D73" s="130" t="s">
        <v>451</v>
      </c>
      <c r="E73" s="130" t="s">
        <v>447</v>
      </c>
      <c r="F73" s="130">
        <v>7569</v>
      </c>
      <c r="G73" s="130">
        <v>1422</v>
      </c>
      <c r="H73" s="130">
        <v>1849</v>
      </c>
      <c r="I73" s="130">
        <v>126</v>
      </c>
      <c r="J73" s="131">
        <v>9572.0300000000007</v>
      </c>
      <c r="K73" s="131">
        <v>705.99</v>
      </c>
      <c r="L73" s="130" t="s">
        <v>147</v>
      </c>
      <c r="M73" s="140">
        <f>+Baza_podataka[[#This Row],[Klikovi]]/Baza_podataka[[#This Row],[Prikazi]]</f>
        <v>0.187871581450654</v>
      </c>
      <c r="N73" s="139">
        <f>+Baza_podataka[[#This Row],[Prihod]]/Baza_podataka[[#This Row],[Trošak oglasa]]</f>
        <v>13.558308191334156</v>
      </c>
      <c r="O73" s="141">
        <f>+Baza_podataka[[#This Row],[Trošak oglasa]]/Baza_podataka[[#This Row],[Prihod]]</f>
        <v>7.3755514765415489E-2</v>
      </c>
    </row>
    <row r="74" spans="2:15" x14ac:dyDescent="0.3">
      <c r="B74" s="129">
        <v>45392</v>
      </c>
      <c r="C74" s="130" t="s">
        <v>460</v>
      </c>
      <c r="D74" s="130" t="s">
        <v>446</v>
      </c>
      <c r="E74" s="130" t="s">
        <v>447</v>
      </c>
      <c r="F74" s="130">
        <v>28202</v>
      </c>
      <c r="G74" s="130">
        <v>431</v>
      </c>
      <c r="H74" s="130">
        <v>2530</v>
      </c>
      <c r="I74" s="130">
        <v>187</v>
      </c>
      <c r="J74" s="131">
        <v>1939.28</v>
      </c>
      <c r="K74" s="131">
        <v>1595.25</v>
      </c>
      <c r="L74" s="130" t="s">
        <v>146</v>
      </c>
      <c r="M74" s="140">
        <f>+Baza_podataka[[#This Row],[Klikovi]]/Baza_podataka[[#This Row],[Prikazi]]</f>
        <v>1.5282604070633289E-2</v>
      </c>
      <c r="N74" s="139">
        <f>+Baza_podataka[[#This Row],[Prihod]]/Baza_podataka[[#This Row],[Trošak oglasa]]</f>
        <v>1.2156589876194954</v>
      </c>
      <c r="O74" s="141">
        <f>+Baza_podataka[[#This Row],[Trošak oglasa]]/Baza_podataka[[#This Row],[Prihod]]</f>
        <v>0.82259910894765065</v>
      </c>
    </row>
    <row r="75" spans="2:15" x14ac:dyDescent="0.3">
      <c r="B75" s="129">
        <v>45357</v>
      </c>
      <c r="C75" s="130" t="s">
        <v>458</v>
      </c>
      <c r="D75" s="130" t="s">
        <v>444</v>
      </c>
      <c r="E75" s="130" t="s">
        <v>449</v>
      </c>
      <c r="F75" s="130">
        <v>29100</v>
      </c>
      <c r="G75" s="130">
        <v>1831</v>
      </c>
      <c r="H75" s="130">
        <v>2200</v>
      </c>
      <c r="I75" s="130">
        <v>54</v>
      </c>
      <c r="J75" s="131">
        <v>9952.7000000000007</v>
      </c>
      <c r="K75" s="131">
        <v>224.33</v>
      </c>
      <c r="L75" s="130" t="s">
        <v>147</v>
      </c>
      <c r="M75" s="140">
        <f>+Baza_podataka[[#This Row],[Klikovi]]/Baza_podataka[[#This Row],[Prikazi]]</f>
        <v>6.2920962199312716E-2</v>
      </c>
      <c r="N75" s="139">
        <f>+Baza_podataka[[#This Row],[Prihod]]/Baza_podataka[[#This Row],[Trošak oglasa]]</f>
        <v>44.366335309588557</v>
      </c>
      <c r="O75" s="141">
        <f>+Baza_podataka[[#This Row],[Trošak oglasa]]/Baza_podataka[[#This Row],[Prihod]]</f>
        <v>2.2539612366493513E-2</v>
      </c>
    </row>
    <row r="76" spans="2:15" x14ac:dyDescent="0.3">
      <c r="B76" s="129">
        <v>45355</v>
      </c>
      <c r="C76" s="130" t="s">
        <v>464</v>
      </c>
      <c r="D76" s="130" t="s">
        <v>444</v>
      </c>
      <c r="E76" s="130" t="s">
        <v>447</v>
      </c>
      <c r="F76" s="130">
        <v>37541</v>
      </c>
      <c r="G76" s="130">
        <v>59</v>
      </c>
      <c r="H76" s="130">
        <v>986</v>
      </c>
      <c r="I76" s="130">
        <v>67</v>
      </c>
      <c r="J76" s="131">
        <v>7769</v>
      </c>
      <c r="K76" s="131">
        <v>1827.74</v>
      </c>
      <c r="L76" s="130" t="s">
        <v>147</v>
      </c>
      <c r="M76" s="140">
        <f>+Baza_podataka[[#This Row],[Klikovi]]/Baza_podataka[[#This Row],[Prikazi]]</f>
        <v>1.5716150342292427E-3</v>
      </c>
      <c r="N76" s="139">
        <f>+Baza_podataka[[#This Row],[Prihod]]/Baza_podataka[[#This Row],[Trošak oglasa]]</f>
        <v>4.2506045717662246</v>
      </c>
      <c r="O76" s="141">
        <f>+Baza_podataka[[#This Row],[Trošak oglasa]]/Baza_podataka[[#This Row],[Prihod]]</f>
        <v>0.23526065130647444</v>
      </c>
    </row>
    <row r="77" spans="2:15" x14ac:dyDescent="0.3">
      <c r="B77" s="129">
        <v>45603</v>
      </c>
      <c r="C77" s="130" t="s">
        <v>464</v>
      </c>
      <c r="D77" s="130" t="s">
        <v>450</v>
      </c>
      <c r="E77" s="130" t="s">
        <v>447</v>
      </c>
      <c r="F77" s="130">
        <v>46689</v>
      </c>
      <c r="G77" s="130">
        <v>2204</v>
      </c>
      <c r="H77" s="130">
        <v>3024</v>
      </c>
      <c r="I77" s="130">
        <v>160</v>
      </c>
      <c r="J77" s="131">
        <v>5440.47</v>
      </c>
      <c r="K77" s="131">
        <v>1807.72</v>
      </c>
      <c r="L77" s="130" t="s">
        <v>147</v>
      </c>
      <c r="M77" s="140">
        <f>+Baza_podataka[[#This Row],[Klikovi]]/Baza_podataka[[#This Row],[Prikazi]]</f>
        <v>4.7205979995287972E-2</v>
      </c>
      <c r="N77" s="139">
        <f>+Baza_podataka[[#This Row],[Prihod]]/Baza_podataka[[#This Row],[Trošak oglasa]]</f>
        <v>3.0095755979908394</v>
      </c>
      <c r="O77" s="141">
        <f>+Baza_podataka[[#This Row],[Trošak oglasa]]/Baza_podataka[[#This Row],[Prihod]]</f>
        <v>0.33227276319876775</v>
      </c>
    </row>
    <row r="78" spans="2:15" x14ac:dyDescent="0.3">
      <c r="B78" s="129">
        <v>45652</v>
      </c>
      <c r="C78" s="130" t="s">
        <v>459</v>
      </c>
      <c r="D78" s="130" t="s">
        <v>454</v>
      </c>
      <c r="E78" s="130" t="s">
        <v>447</v>
      </c>
      <c r="F78" s="130">
        <v>16786</v>
      </c>
      <c r="G78" s="130">
        <v>1519</v>
      </c>
      <c r="H78" s="130">
        <v>2100</v>
      </c>
      <c r="I78" s="130">
        <v>123</v>
      </c>
      <c r="J78" s="131">
        <v>2464.5300000000002</v>
      </c>
      <c r="K78" s="131">
        <v>407.17</v>
      </c>
      <c r="L78" s="130" t="s">
        <v>147</v>
      </c>
      <c r="M78" s="140">
        <f>+Baza_podataka[[#This Row],[Klikovi]]/Baza_podataka[[#This Row],[Prikazi]]</f>
        <v>9.0492076730608842E-2</v>
      </c>
      <c r="N78" s="139">
        <f>+Baza_podataka[[#This Row],[Prihod]]/Baza_podataka[[#This Row],[Trošak oglasa]]</f>
        <v>6.0528280570768969</v>
      </c>
      <c r="O78" s="141">
        <f>+Baza_podataka[[#This Row],[Trošak oglasa]]/Baza_podataka[[#This Row],[Prihod]]</f>
        <v>0.165212028256909</v>
      </c>
    </row>
    <row r="79" spans="2:15" x14ac:dyDescent="0.3">
      <c r="B79" s="129">
        <v>45434</v>
      </c>
      <c r="C79" s="130" t="s">
        <v>458</v>
      </c>
      <c r="D79" s="130" t="s">
        <v>454</v>
      </c>
      <c r="E79" s="130" t="s">
        <v>448</v>
      </c>
      <c r="F79" s="130">
        <v>19497</v>
      </c>
      <c r="G79" s="130">
        <v>1883</v>
      </c>
      <c r="H79" s="130">
        <v>1942</v>
      </c>
      <c r="I79" s="130">
        <v>110</v>
      </c>
      <c r="J79" s="131">
        <v>2377.92</v>
      </c>
      <c r="K79" s="131">
        <v>783.67</v>
      </c>
      <c r="L79" s="130" t="s">
        <v>146</v>
      </c>
      <c r="M79" s="140">
        <f>+Baza_podataka[[#This Row],[Klikovi]]/Baza_podataka[[#This Row],[Prikazi]]</f>
        <v>9.6578960865774222E-2</v>
      </c>
      <c r="N79" s="139">
        <f>+Baza_podataka[[#This Row],[Prihod]]/Baza_podataka[[#This Row],[Trošak oglasa]]</f>
        <v>3.0343384332691059</v>
      </c>
      <c r="O79" s="141">
        <f>+Baza_podataka[[#This Row],[Trošak oglasa]]/Baza_podataka[[#This Row],[Prihod]]</f>
        <v>0.32956112905396312</v>
      </c>
    </row>
    <row r="80" spans="2:15" x14ac:dyDescent="0.3">
      <c r="B80" s="129">
        <v>45390</v>
      </c>
      <c r="C80" s="130" t="s">
        <v>460</v>
      </c>
      <c r="D80" s="130" t="s">
        <v>454</v>
      </c>
      <c r="E80" s="130" t="s">
        <v>448</v>
      </c>
      <c r="F80" s="130">
        <v>47276</v>
      </c>
      <c r="G80" s="130">
        <v>2754</v>
      </c>
      <c r="H80" s="130">
        <v>2283</v>
      </c>
      <c r="I80" s="130">
        <v>171</v>
      </c>
      <c r="J80" s="131">
        <v>3997.13</v>
      </c>
      <c r="K80" s="131">
        <v>749.56</v>
      </c>
      <c r="L80" s="130" t="s">
        <v>146</v>
      </c>
      <c r="M80" s="140">
        <f>+Baza_podataka[[#This Row],[Klikovi]]/Baza_podataka[[#This Row],[Prikazi]]</f>
        <v>5.8253659362044165E-2</v>
      </c>
      <c r="N80" s="139">
        <f>+Baza_podataka[[#This Row],[Prihod]]/Baza_podataka[[#This Row],[Trošak oglasa]]</f>
        <v>5.3326351459522927</v>
      </c>
      <c r="O80" s="141">
        <f>+Baza_podataka[[#This Row],[Trošak oglasa]]/Baza_podataka[[#This Row],[Prihod]]</f>
        <v>0.18752454886380976</v>
      </c>
    </row>
    <row r="81" spans="2:15" x14ac:dyDescent="0.3">
      <c r="B81" s="129">
        <v>45609</v>
      </c>
      <c r="C81" s="130" t="s">
        <v>464</v>
      </c>
      <c r="D81" s="130" t="s">
        <v>454</v>
      </c>
      <c r="E81" s="130" t="s">
        <v>447</v>
      </c>
      <c r="F81" s="130">
        <v>38640</v>
      </c>
      <c r="G81" s="130">
        <v>2488</v>
      </c>
      <c r="H81" s="130">
        <v>1024</v>
      </c>
      <c r="I81" s="130">
        <v>24</v>
      </c>
      <c r="J81" s="131">
        <v>3556.41</v>
      </c>
      <c r="K81" s="131">
        <v>1198.1099999999999</v>
      </c>
      <c r="L81" s="130" t="s">
        <v>147</v>
      </c>
      <c r="M81" s="140">
        <f>+Baza_podataka[[#This Row],[Klikovi]]/Baza_podataka[[#This Row],[Prikazi]]</f>
        <v>6.4389233954451341E-2</v>
      </c>
      <c r="N81" s="139">
        <f>+Baza_podataka[[#This Row],[Prihod]]/Baza_podataka[[#This Row],[Trošak oglasa]]</f>
        <v>2.9683501514885946</v>
      </c>
      <c r="O81" s="141">
        <f>+Baza_podataka[[#This Row],[Trošak oglasa]]/Baza_podataka[[#This Row],[Prihod]]</f>
        <v>0.33688747922764811</v>
      </c>
    </row>
    <row r="82" spans="2:15" x14ac:dyDescent="0.3">
      <c r="B82" s="129">
        <v>45652</v>
      </c>
      <c r="C82" s="130" t="s">
        <v>459</v>
      </c>
      <c r="D82" s="130" t="s">
        <v>454</v>
      </c>
      <c r="E82" s="130" t="s">
        <v>449</v>
      </c>
      <c r="F82" s="130">
        <v>24832</v>
      </c>
      <c r="G82" s="130">
        <v>504</v>
      </c>
      <c r="H82" s="130">
        <v>1865</v>
      </c>
      <c r="I82" s="130">
        <v>181</v>
      </c>
      <c r="J82" s="131">
        <v>823.35</v>
      </c>
      <c r="K82" s="131">
        <v>331.79</v>
      </c>
      <c r="L82" s="130" t="s">
        <v>147</v>
      </c>
      <c r="M82" s="140">
        <f>+Baza_podataka[[#This Row],[Klikovi]]/Baza_podataka[[#This Row],[Prikazi]]</f>
        <v>2.029639175257732E-2</v>
      </c>
      <c r="N82" s="139">
        <f>+Baza_podataka[[#This Row],[Prihod]]/Baza_podataka[[#This Row],[Trošak oglasa]]</f>
        <v>2.4815395280147081</v>
      </c>
      <c r="O82" s="141">
        <f>+Baza_podataka[[#This Row],[Trošak oglasa]]/Baza_podataka[[#This Row],[Prihod]]</f>
        <v>0.40297564826622945</v>
      </c>
    </row>
    <row r="83" spans="2:15" x14ac:dyDescent="0.3">
      <c r="B83" s="129">
        <v>45319</v>
      </c>
      <c r="C83" s="130" t="s">
        <v>461</v>
      </c>
      <c r="D83" s="130" t="s">
        <v>462</v>
      </c>
      <c r="E83" s="130" t="s">
        <v>452</v>
      </c>
      <c r="F83" s="130">
        <v>18118</v>
      </c>
      <c r="G83" s="130">
        <v>1850</v>
      </c>
      <c r="H83" s="130">
        <v>394</v>
      </c>
      <c r="I83" s="130">
        <v>171</v>
      </c>
      <c r="J83" s="131">
        <v>7258.67</v>
      </c>
      <c r="K83" s="131">
        <v>1110.46</v>
      </c>
      <c r="L83" s="130" t="s">
        <v>147</v>
      </c>
      <c r="M83" s="140">
        <f>+Baza_podataka[[#This Row],[Klikovi]]/Baza_podataka[[#This Row],[Prikazi]]</f>
        <v>0.10210840048570483</v>
      </c>
      <c r="N83" s="139">
        <f>+Baza_podataka[[#This Row],[Prihod]]/Baza_podataka[[#This Row],[Trošak oglasa]]</f>
        <v>6.5366334672117858</v>
      </c>
      <c r="O83" s="141">
        <f>+Baza_podataka[[#This Row],[Trošak oglasa]]/Baza_podataka[[#This Row],[Prihod]]</f>
        <v>0.15298394885013369</v>
      </c>
    </row>
    <row r="84" spans="2:15" x14ac:dyDescent="0.3">
      <c r="B84" s="129">
        <v>45614</v>
      </c>
      <c r="C84" s="130" t="s">
        <v>458</v>
      </c>
      <c r="D84" s="130" t="s">
        <v>450</v>
      </c>
      <c r="E84" s="130" t="s">
        <v>443</v>
      </c>
      <c r="F84" s="130">
        <v>12526</v>
      </c>
      <c r="G84" s="130">
        <v>128</v>
      </c>
      <c r="H84" s="130">
        <v>3059</v>
      </c>
      <c r="I84" s="130">
        <v>175</v>
      </c>
      <c r="J84" s="131">
        <v>9402.57</v>
      </c>
      <c r="K84" s="131">
        <v>2973.63</v>
      </c>
      <c r="L84" s="130" t="s">
        <v>147</v>
      </c>
      <c r="M84" s="140">
        <f>+Baza_podataka[[#This Row],[Klikovi]]/Baza_podataka[[#This Row],[Prikazi]]</f>
        <v>1.0218745010378413E-2</v>
      </c>
      <c r="N84" s="139">
        <f>+Baza_podataka[[#This Row],[Prihod]]/Baza_podataka[[#This Row],[Trošak oglasa]]</f>
        <v>3.1619838379354523</v>
      </c>
      <c r="O84" s="141">
        <f>+Baza_podataka[[#This Row],[Trošak oglasa]]/Baza_podataka[[#This Row],[Prihod]]</f>
        <v>0.31625715097042617</v>
      </c>
    </row>
    <row r="85" spans="2:15" x14ac:dyDescent="0.3">
      <c r="B85" s="129">
        <v>45391</v>
      </c>
      <c r="C85" s="130" t="s">
        <v>460</v>
      </c>
      <c r="D85" s="130" t="s">
        <v>451</v>
      </c>
      <c r="E85" s="130" t="s">
        <v>448</v>
      </c>
      <c r="F85" s="130">
        <v>16778</v>
      </c>
      <c r="G85" s="130">
        <v>609</v>
      </c>
      <c r="H85" s="130">
        <v>152</v>
      </c>
      <c r="I85" s="130">
        <v>1</v>
      </c>
      <c r="J85" s="131">
        <v>2944.29</v>
      </c>
      <c r="K85" s="131">
        <v>2779.79</v>
      </c>
      <c r="L85" s="130" t="s">
        <v>146</v>
      </c>
      <c r="M85" s="140">
        <f>+Baza_podataka[[#This Row],[Klikovi]]/Baza_podataka[[#This Row],[Prikazi]]</f>
        <v>3.629753248301347E-2</v>
      </c>
      <c r="N85" s="139">
        <f>+Baza_podataka[[#This Row],[Prihod]]/Baza_podataka[[#This Row],[Trošak oglasa]]</f>
        <v>1.0591771320855172</v>
      </c>
      <c r="O85" s="141">
        <f>+Baza_podataka[[#This Row],[Trošak oglasa]]/Baza_podataka[[#This Row],[Prihod]]</f>
        <v>0.94412914488722244</v>
      </c>
    </row>
    <row r="86" spans="2:15" x14ac:dyDescent="0.3">
      <c r="B86" s="129">
        <v>45410</v>
      </c>
      <c r="C86" s="130" t="s">
        <v>463</v>
      </c>
      <c r="D86" s="130" t="s">
        <v>454</v>
      </c>
      <c r="E86" s="130" t="s">
        <v>445</v>
      </c>
      <c r="F86" s="130">
        <v>42468</v>
      </c>
      <c r="G86" s="130">
        <v>828</v>
      </c>
      <c r="H86" s="130">
        <v>1259</v>
      </c>
      <c r="I86" s="130">
        <v>193</v>
      </c>
      <c r="J86" s="131">
        <v>5919.34</v>
      </c>
      <c r="K86" s="131">
        <v>198.59</v>
      </c>
      <c r="L86" s="130" t="s">
        <v>146</v>
      </c>
      <c r="M86" s="140">
        <f>+Baza_podataka[[#This Row],[Klikovi]]/Baza_podataka[[#This Row],[Prikazi]]</f>
        <v>1.9497033060186492E-2</v>
      </c>
      <c r="N86" s="139">
        <f>+Baza_podataka[[#This Row],[Prihod]]/Baza_podataka[[#This Row],[Trošak oglasa]]</f>
        <v>29.806838209376103</v>
      </c>
      <c r="O86" s="141">
        <f>+Baza_podataka[[#This Row],[Trošak oglasa]]/Baza_podataka[[#This Row],[Prihod]]</f>
        <v>3.3549348407085927E-2</v>
      </c>
    </row>
    <row r="87" spans="2:15" x14ac:dyDescent="0.3">
      <c r="B87" s="129">
        <v>45558</v>
      </c>
      <c r="C87" s="130" t="s">
        <v>464</v>
      </c>
      <c r="D87" s="130" t="s">
        <v>446</v>
      </c>
      <c r="E87" s="130" t="s">
        <v>443</v>
      </c>
      <c r="F87" s="130">
        <v>31532</v>
      </c>
      <c r="G87" s="130">
        <v>1368</v>
      </c>
      <c r="H87" s="130">
        <v>1757</v>
      </c>
      <c r="I87" s="130">
        <v>73</v>
      </c>
      <c r="J87" s="131">
        <v>3457.04</v>
      </c>
      <c r="K87" s="131">
        <v>2818.76</v>
      </c>
      <c r="L87" s="130" t="s">
        <v>147</v>
      </c>
      <c r="M87" s="140">
        <f>+Baza_podataka[[#This Row],[Klikovi]]/Baza_podataka[[#This Row],[Prikazi]]</f>
        <v>4.3384498287454012E-2</v>
      </c>
      <c r="N87" s="139">
        <f>+Baza_podataka[[#This Row],[Prihod]]/Baza_podataka[[#This Row],[Trošak oglasa]]</f>
        <v>1.2264399948913705</v>
      </c>
      <c r="O87" s="141">
        <f>+Baza_podataka[[#This Row],[Trošak oglasa]]/Baza_podataka[[#This Row],[Prihod]]</f>
        <v>0.81536806053733835</v>
      </c>
    </row>
    <row r="88" spans="2:15" x14ac:dyDescent="0.3">
      <c r="B88" s="129">
        <v>45546</v>
      </c>
      <c r="C88" s="130" t="s">
        <v>464</v>
      </c>
      <c r="D88" s="130" t="s">
        <v>454</v>
      </c>
      <c r="E88" s="130" t="s">
        <v>453</v>
      </c>
      <c r="F88" s="130">
        <v>17839</v>
      </c>
      <c r="G88" s="130">
        <v>1270</v>
      </c>
      <c r="H88" s="130">
        <v>1288</v>
      </c>
      <c r="I88" s="130">
        <v>51</v>
      </c>
      <c r="J88" s="131">
        <v>829.15</v>
      </c>
      <c r="K88" s="131">
        <v>447.26</v>
      </c>
      <c r="L88" s="130" t="s">
        <v>146</v>
      </c>
      <c r="M88" s="140">
        <f>+Baza_podataka[[#This Row],[Klikovi]]/Baza_podataka[[#This Row],[Prikazi]]</f>
        <v>7.1192331408711257E-2</v>
      </c>
      <c r="N88" s="139">
        <f>+Baza_podataka[[#This Row],[Prihod]]/Baza_podataka[[#This Row],[Trošak oglasa]]</f>
        <v>1.8538434020480257</v>
      </c>
      <c r="O88" s="141">
        <f>+Baza_podataka[[#This Row],[Trošak oglasa]]/Baza_podataka[[#This Row],[Prihod]]</f>
        <v>0.5394198878369415</v>
      </c>
    </row>
    <row r="89" spans="2:15" x14ac:dyDescent="0.3">
      <c r="B89" s="129">
        <v>45369</v>
      </c>
      <c r="C89" s="130" t="s">
        <v>464</v>
      </c>
      <c r="D89" s="130" t="s">
        <v>446</v>
      </c>
      <c r="E89" s="130" t="s">
        <v>448</v>
      </c>
      <c r="F89" s="130">
        <v>10301</v>
      </c>
      <c r="G89" s="130">
        <v>2245</v>
      </c>
      <c r="H89" s="130">
        <v>2064</v>
      </c>
      <c r="I89" s="130">
        <v>63</v>
      </c>
      <c r="J89" s="131">
        <v>8771.1200000000008</v>
      </c>
      <c r="K89" s="131">
        <v>2175.79</v>
      </c>
      <c r="L89" s="130" t="s">
        <v>146</v>
      </c>
      <c r="M89" s="140">
        <f>+Baza_podataka[[#This Row],[Klikovi]]/Baza_podataka[[#This Row],[Prikazi]]</f>
        <v>0.21794000582467721</v>
      </c>
      <c r="N89" s="139">
        <f>+Baza_podataka[[#This Row],[Prihod]]/Baza_podataka[[#This Row],[Trošak oglasa]]</f>
        <v>4.0312346320187151</v>
      </c>
      <c r="O89" s="141">
        <f>+Baza_podataka[[#This Row],[Trošak oglasa]]/Baza_podataka[[#This Row],[Prihod]]</f>
        <v>0.24806296117257542</v>
      </c>
    </row>
    <row r="90" spans="2:15" x14ac:dyDescent="0.3">
      <c r="B90" s="129">
        <v>45320</v>
      </c>
      <c r="C90" s="130" t="s">
        <v>460</v>
      </c>
      <c r="D90" s="130" t="s">
        <v>454</v>
      </c>
      <c r="E90" s="130" t="s">
        <v>453</v>
      </c>
      <c r="F90" s="130">
        <v>30656</v>
      </c>
      <c r="G90" s="130">
        <v>2367</v>
      </c>
      <c r="H90" s="130">
        <v>2196</v>
      </c>
      <c r="I90" s="130">
        <v>37</v>
      </c>
      <c r="J90" s="131">
        <v>5024.6099999999997</v>
      </c>
      <c r="K90" s="131">
        <v>2691.52</v>
      </c>
      <c r="L90" s="130" t="s">
        <v>146</v>
      </c>
      <c r="M90" s="140">
        <f>+Baza_podataka[[#This Row],[Klikovi]]/Baza_podataka[[#This Row],[Prikazi]]</f>
        <v>7.7211638830897697E-2</v>
      </c>
      <c r="N90" s="139">
        <f>+Baza_podataka[[#This Row],[Prihod]]/Baza_podataka[[#This Row],[Trošak oglasa]]</f>
        <v>1.8668298953751039</v>
      </c>
      <c r="O90" s="141">
        <f>+Baza_podataka[[#This Row],[Trošak oglasa]]/Baza_podataka[[#This Row],[Prihod]]</f>
        <v>0.53566744483651474</v>
      </c>
    </row>
    <row r="91" spans="2:15" x14ac:dyDescent="0.3">
      <c r="B91" s="129">
        <v>45465</v>
      </c>
      <c r="C91" s="130" t="s">
        <v>463</v>
      </c>
      <c r="D91" s="130" t="s">
        <v>451</v>
      </c>
      <c r="E91" s="130" t="s">
        <v>445</v>
      </c>
      <c r="F91" s="130">
        <v>16359</v>
      </c>
      <c r="G91" s="130">
        <v>1924</v>
      </c>
      <c r="H91" s="130">
        <v>2604</v>
      </c>
      <c r="I91" s="130">
        <v>143</v>
      </c>
      <c r="J91" s="131">
        <v>3149.89</v>
      </c>
      <c r="K91" s="131">
        <v>120.33</v>
      </c>
      <c r="L91" s="130" t="s">
        <v>147</v>
      </c>
      <c r="M91" s="140">
        <f>+Baza_podataka[[#This Row],[Klikovi]]/Baza_podataka[[#This Row],[Prikazi]]</f>
        <v>0.11761110092303931</v>
      </c>
      <c r="N91" s="139">
        <f>+Baza_podataka[[#This Row],[Prihod]]/Baza_podataka[[#This Row],[Trošak oglasa]]</f>
        <v>26.177096318457576</v>
      </c>
      <c r="O91" s="141">
        <f>+Baza_podataka[[#This Row],[Trošak oglasa]]/Baza_podataka[[#This Row],[Prihod]]</f>
        <v>3.8201334014838613E-2</v>
      </c>
    </row>
    <row r="92" spans="2:15" x14ac:dyDescent="0.3">
      <c r="B92" s="129">
        <v>45603</v>
      </c>
      <c r="C92" s="130" t="s">
        <v>461</v>
      </c>
      <c r="D92" s="130" t="s">
        <v>444</v>
      </c>
      <c r="E92" s="130" t="s">
        <v>453</v>
      </c>
      <c r="F92" s="130">
        <v>8801</v>
      </c>
      <c r="G92" s="130">
        <v>2257</v>
      </c>
      <c r="H92" s="130">
        <v>593</v>
      </c>
      <c r="I92" s="130">
        <v>189</v>
      </c>
      <c r="J92" s="131">
        <v>5323.33</v>
      </c>
      <c r="K92" s="131">
        <v>2372.13</v>
      </c>
      <c r="L92" s="130" t="s">
        <v>147</v>
      </c>
      <c r="M92" s="140">
        <f>+Baza_podataka[[#This Row],[Klikovi]]/Baza_podataka[[#This Row],[Prikazi]]</f>
        <v>0.25644813089421659</v>
      </c>
      <c r="N92" s="139">
        <f>+Baza_podataka[[#This Row],[Prihod]]/Baza_podataka[[#This Row],[Trošak oglasa]]</f>
        <v>2.244113939792507</v>
      </c>
      <c r="O92" s="141">
        <f>+Baza_podataka[[#This Row],[Trošak oglasa]]/Baza_podataka[[#This Row],[Prihod]]</f>
        <v>0.44561017257994529</v>
      </c>
    </row>
    <row r="93" spans="2:15" x14ac:dyDescent="0.3">
      <c r="B93" s="129">
        <v>45306</v>
      </c>
      <c r="C93" s="130" t="s">
        <v>464</v>
      </c>
      <c r="D93" s="130" t="s">
        <v>446</v>
      </c>
      <c r="E93" s="130" t="s">
        <v>443</v>
      </c>
      <c r="F93" s="130">
        <v>13821</v>
      </c>
      <c r="G93" s="130">
        <v>85</v>
      </c>
      <c r="H93" s="130">
        <v>1238</v>
      </c>
      <c r="I93" s="130">
        <v>60</v>
      </c>
      <c r="J93" s="131">
        <v>2954.41</v>
      </c>
      <c r="K93" s="131">
        <v>38.75</v>
      </c>
      <c r="L93" s="130" t="s">
        <v>146</v>
      </c>
      <c r="M93" s="140">
        <f>+Baza_podataka[[#This Row],[Klikovi]]/Baza_podataka[[#This Row],[Prikazi]]</f>
        <v>6.1500615006150061E-3</v>
      </c>
      <c r="N93" s="139">
        <f>+Baza_podataka[[#This Row],[Prihod]]/Baza_podataka[[#This Row],[Trošak oglasa]]</f>
        <v>76.242838709677414</v>
      </c>
      <c r="O93" s="141">
        <f>+Baza_podataka[[#This Row],[Trošak oglasa]]/Baza_podataka[[#This Row],[Prihod]]</f>
        <v>1.3115985932893539E-2</v>
      </c>
    </row>
    <row r="94" spans="2:15" x14ac:dyDescent="0.3">
      <c r="B94" s="129">
        <v>45592</v>
      </c>
      <c r="C94" s="130" t="s">
        <v>461</v>
      </c>
      <c r="D94" s="130" t="s">
        <v>446</v>
      </c>
      <c r="E94" s="130" t="s">
        <v>449</v>
      </c>
      <c r="F94" s="130">
        <v>27897</v>
      </c>
      <c r="G94" s="130">
        <v>160</v>
      </c>
      <c r="H94" s="130">
        <v>2981</v>
      </c>
      <c r="I94" s="130">
        <v>175</v>
      </c>
      <c r="J94" s="131">
        <v>6556.18</v>
      </c>
      <c r="K94" s="131">
        <v>1074.77</v>
      </c>
      <c r="L94" s="130" t="s">
        <v>147</v>
      </c>
      <c r="M94" s="140">
        <f>+Baza_podataka[[#This Row],[Klikovi]]/Baza_podataka[[#This Row],[Prikazi]]</f>
        <v>5.735383733017887E-3</v>
      </c>
      <c r="N94" s="139">
        <f>+Baza_podataka[[#This Row],[Prihod]]/Baza_podataka[[#This Row],[Trošak oglasa]]</f>
        <v>6.1000772258250606</v>
      </c>
      <c r="O94" s="141">
        <f>+Baza_podataka[[#This Row],[Trošak oglasa]]/Baza_podataka[[#This Row],[Prihod]]</f>
        <v>0.16393235085064778</v>
      </c>
    </row>
    <row r="95" spans="2:15" x14ac:dyDescent="0.3">
      <c r="B95" s="129">
        <v>45577</v>
      </c>
      <c r="C95" s="130" t="s">
        <v>464</v>
      </c>
      <c r="D95" s="130" t="s">
        <v>446</v>
      </c>
      <c r="E95" s="130" t="s">
        <v>443</v>
      </c>
      <c r="F95" s="130">
        <v>41489</v>
      </c>
      <c r="G95" s="130">
        <v>1491</v>
      </c>
      <c r="H95" s="130">
        <v>2824</v>
      </c>
      <c r="I95" s="130">
        <v>91</v>
      </c>
      <c r="J95" s="131">
        <v>5673.73</v>
      </c>
      <c r="K95" s="131">
        <v>318.45</v>
      </c>
      <c r="L95" s="130" t="s">
        <v>146</v>
      </c>
      <c r="M95" s="140">
        <f>+Baza_podataka[[#This Row],[Klikovi]]/Baza_podataka[[#This Row],[Prikazi]]</f>
        <v>3.5937236375906866E-2</v>
      </c>
      <c r="N95" s="139">
        <f>+Baza_podataka[[#This Row],[Prihod]]/Baza_podataka[[#This Row],[Trošak oglasa]]</f>
        <v>17.816705919296592</v>
      </c>
      <c r="O95" s="141">
        <f>+Baza_podataka[[#This Row],[Trošak oglasa]]/Baza_podataka[[#This Row],[Prihod]]</f>
        <v>5.6127098046611312E-2</v>
      </c>
    </row>
    <row r="96" spans="2:15" x14ac:dyDescent="0.3">
      <c r="B96" s="129">
        <v>45589</v>
      </c>
      <c r="C96" s="130" t="s">
        <v>458</v>
      </c>
      <c r="D96" s="130" t="s">
        <v>450</v>
      </c>
      <c r="E96" s="130" t="s">
        <v>453</v>
      </c>
      <c r="F96" s="130">
        <v>32128</v>
      </c>
      <c r="G96" s="130">
        <v>1261</v>
      </c>
      <c r="H96" s="130">
        <v>2572</v>
      </c>
      <c r="I96" s="130">
        <v>89</v>
      </c>
      <c r="J96" s="131">
        <v>6435.77</v>
      </c>
      <c r="K96" s="131">
        <v>430.57</v>
      </c>
      <c r="L96" s="130" t="s">
        <v>147</v>
      </c>
      <c r="M96" s="140">
        <f>+Baza_podataka[[#This Row],[Klikovi]]/Baza_podataka[[#This Row],[Prikazi]]</f>
        <v>3.9249252988047809E-2</v>
      </c>
      <c r="N96" s="139">
        <f>+Baza_podataka[[#This Row],[Prihod]]/Baza_podataka[[#This Row],[Trošak oglasa]]</f>
        <v>14.947093387834732</v>
      </c>
      <c r="O96" s="141">
        <f>+Baza_podataka[[#This Row],[Trošak oglasa]]/Baza_podataka[[#This Row],[Prihod]]</f>
        <v>6.690263946660617E-2</v>
      </c>
    </row>
    <row r="97" spans="2:15" x14ac:dyDescent="0.3">
      <c r="B97" s="129">
        <v>45482</v>
      </c>
      <c r="C97" s="130" t="s">
        <v>464</v>
      </c>
      <c r="D97" s="130" t="s">
        <v>444</v>
      </c>
      <c r="E97" s="130" t="s">
        <v>453</v>
      </c>
      <c r="F97" s="130">
        <v>20655</v>
      </c>
      <c r="G97" s="130">
        <v>2479</v>
      </c>
      <c r="H97" s="130">
        <v>1915</v>
      </c>
      <c r="I97" s="130">
        <v>139</v>
      </c>
      <c r="J97" s="131">
        <v>7765.79</v>
      </c>
      <c r="K97" s="131">
        <v>1409.07</v>
      </c>
      <c r="L97" s="130" t="s">
        <v>147</v>
      </c>
      <c r="M97" s="140">
        <f>+Baza_podataka[[#This Row],[Klikovi]]/Baza_podataka[[#This Row],[Prikazi]]</f>
        <v>0.12001936577099975</v>
      </c>
      <c r="N97" s="139">
        <f>+Baza_podataka[[#This Row],[Prihod]]/Baza_podataka[[#This Row],[Trošak oglasa]]</f>
        <v>5.5112875868480629</v>
      </c>
      <c r="O97" s="141">
        <f>+Baza_podataka[[#This Row],[Trošak oglasa]]/Baza_podataka[[#This Row],[Prihod]]</f>
        <v>0.18144580268073177</v>
      </c>
    </row>
    <row r="98" spans="2:15" x14ac:dyDescent="0.3">
      <c r="B98" s="129">
        <v>45621</v>
      </c>
      <c r="C98" s="130" t="s">
        <v>459</v>
      </c>
      <c r="D98" s="130" t="s">
        <v>446</v>
      </c>
      <c r="E98" s="130" t="s">
        <v>452</v>
      </c>
      <c r="F98" s="130">
        <v>49768</v>
      </c>
      <c r="G98" s="130">
        <v>608</v>
      </c>
      <c r="H98" s="130">
        <v>970</v>
      </c>
      <c r="I98" s="130">
        <v>46</v>
      </c>
      <c r="J98" s="131">
        <v>9951.85</v>
      </c>
      <c r="K98" s="131">
        <v>523.42999999999995</v>
      </c>
      <c r="L98" s="130" t="s">
        <v>146</v>
      </c>
      <c r="M98" s="140">
        <f>+Baza_podataka[[#This Row],[Klikovi]]/Baza_podataka[[#This Row],[Prikazi]]</f>
        <v>1.2216685420350426E-2</v>
      </c>
      <c r="N98" s="139">
        <f>+Baza_podataka[[#This Row],[Prihod]]/Baza_podataka[[#This Row],[Trošak oglasa]]</f>
        <v>19.012761973902911</v>
      </c>
      <c r="O98" s="141">
        <f>+Baza_podataka[[#This Row],[Trošak oglasa]]/Baza_podataka[[#This Row],[Prihod]]</f>
        <v>5.2596250948316138E-2</v>
      </c>
    </row>
    <row r="99" spans="2:15" x14ac:dyDescent="0.3">
      <c r="B99" s="129">
        <v>45528</v>
      </c>
      <c r="C99" s="130" t="s">
        <v>459</v>
      </c>
      <c r="D99" s="130" t="s">
        <v>451</v>
      </c>
      <c r="E99" s="130" t="s">
        <v>448</v>
      </c>
      <c r="F99" s="130">
        <v>23260</v>
      </c>
      <c r="G99" s="130">
        <v>2292</v>
      </c>
      <c r="H99" s="130">
        <v>1305</v>
      </c>
      <c r="I99" s="130">
        <v>29</v>
      </c>
      <c r="J99" s="131">
        <v>3080.9</v>
      </c>
      <c r="K99" s="131">
        <v>2941.51</v>
      </c>
      <c r="L99" s="130" t="s">
        <v>147</v>
      </c>
      <c r="M99" s="140">
        <f>+Baza_podataka[[#This Row],[Klikovi]]/Baza_podataka[[#This Row],[Prikazi]]</f>
        <v>9.8538263112639718E-2</v>
      </c>
      <c r="N99" s="139">
        <f>+Baza_podataka[[#This Row],[Prihod]]/Baza_podataka[[#This Row],[Trošak oglasa]]</f>
        <v>1.0473872262885389</v>
      </c>
      <c r="O99" s="141">
        <f>+Baza_podataka[[#This Row],[Trošak oglasa]]/Baza_podataka[[#This Row],[Prihod]]</f>
        <v>0.95475672693044245</v>
      </c>
    </row>
    <row r="100" spans="2:15" x14ac:dyDescent="0.3">
      <c r="B100" s="129">
        <v>45552</v>
      </c>
      <c r="C100" s="130" t="s">
        <v>459</v>
      </c>
      <c r="D100" s="130" t="s">
        <v>450</v>
      </c>
      <c r="E100" s="130" t="s">
        <v>453</v>
      </c>
      <c r="F100" s="130">
        <v>18189</v>
      </c>
      <c r="G100" s="130">
        <v>2125</v>
      </c>
      <c r="H100" s="130">
        <v>3452</v>
      </c>
      <c r="I100" s="130">
        <v>192</v>
      </c>
      <c r="J100" s="131">
        <v>7144.2</v>
      </c>
      <c r="K100" s="131">
        <v>2599.46</v>
      </c>
      <c r="L100" s="130" t="s">
        <v>146</v>
      </c>
      <c r="M100" s="140">
        <f>+Baza_podataka[[#This Row],[Klikovi]]/Baza_podataka[[#This Row],[Prikazi]]</f>
        <v>0.11682885260322173</v>
      </c>
      <c r="N100" s="139">
        <f>+Baza_podataka[[#This Row],[Prihod]]/Baza_podataka[[#This Row],[Trošak oglasa]]</f>
        <v>2.7483400398544311</v>
      </c>
      <c r="O100" s="141">
        <f>+Baza_podataka[[#This Row],[Trošak oglasa]]/Baza_podataka[[#This Row],[Prihod]]</f>
        <v>0.36385599507292632</v>
      </c>
    </row>
    <row r="101" spans="2:15" x14ac:dyDescent="0.3">
      <c r="B101" s="129">
        <v>45645</v>
      </c>
      <c r="C101" s="130" t="s">
        <v>458</v>
      </c>
      <c r="D101" s="130" t="s">
        <v>446</v>
      </c>
      <c r="E101" s="130" t="s">
        <v>452</v>
      </c>
      <c r="F101" s="130">
        <v>35710</v>
      </c>
      <c r="G101" s="130">
        <v>2555</v>
      </c>
      <c r="H101" s="130">
        <v>3014</v>
      </c>
      <c r="I101" s="130">
        <v>119</v>
      </c>
      <c r="J101" s="131">
        <v>3859.3</v>
      </c>
      <c r="K101" s="131">
        <v>595.95000000000005</v>
      </c>
      <c r="L101" s="130" t="s">
        <v>146</v>
      </c>
      <c r="M101" s="140">
        <f>+Baza_podataka[[#This Row],[Klikovi]]/Baza_podataka[[#This Row],[Prikazi]]</f>
        <v>7.1548585830299632E-2</v>
      </c>
      <c r="N101" s="139">
        <f>+Baza_podataka[[#This Row],[Prihod]]/Baza_podataka[[#This Row],[Trošak oglasa]]</f>
        <v>6.4758788488967189</v>
      </c>
      <c r="O101" s="141">
        <f>+Baza_podataka[[#This Row],[Trošak oglasa]]/Baza_podataka[[#This Row],[Prihod]]</f>
        <v>0.15441919519083772</v>
      </c>
    </row>
    <row r="102" spans="2:15" x14ac:dyDescent="0.3">
      <c r="B102" s="129">
        <v>45361</v>
      </c>
      <c r="C102" s="130" t="s">
        <v>459</v>
      </c>
      <c r="D102" s="130" t="s">
        <v>451</v>
      </c>
      <c r="E102" s="130" t="s">
        <v>449</v>
      </c>
      <c r="F102" s="130">
        <v>43424</v>
      </c>
      <c r="G102" s="130">
        <v>1021</v>
      </c>
      <c r="H102" s="130">
        <v>2859</v>
      </c>
      <c r="I102" s="130">
        <v>49</v>
      </c>
      <c r="J102" s="131">
        <v>5135.01</v>
      </c>
      <c r="K102" s="131">
        <v>2813.6</v>
      </c>
      <c r="L102" s="130" t="s">
        <v>146</v>
      </c>
      <c r="M102" s="140">
        <f>+Baza_podataka[[#This Row],[Klikovi]]/Baza_podataka[[#This Row],[Prikazi]]</f>
        <v>2.3512343404568901E-2</v>
      </c>
      <c r="N102" s="139">
        <f>+Baza_podataka[[#This Row],[Prihod]]/Baza_podataka[[#This Row],[Trošak oglasa]]</f>
        <v>1.8250675291441572</v>
      </c>
      <c r="O102" s="141">
        <f>+Baza_podataka[[#This Row],[Trošak oglasa]]/Baza_podataka[[#This Row],[Prihod]]</f>
        <v>0.54792493101279249</v>
      </c>
    </row>
    <row r="103" spans="2:15" x14ac:dyDescent="0.3">
      <c r="B103" s="129">
        <v>45581</v>
      </c>
      <c r="C103" s="130" t="s">
        <v>464</v>
      </c>
      <c r="D103" s="130" t="s">
        <v>451</v>
      </c>
      <c r="E103" s="130" t="s">
        <v>445</v>
      </c>
      <c r="F103" s="130">
        <v>13611</v>
      </c>
      <c r="G103" s="130">
        <v>383</v>
      </c>
      <c r="H103" s="130">
        <v>725</v>
      </c>
      <c r="I103" s="130">
        <v>159</v>
      </c>
      <c r="J103" s="131">
        <v>9220.3700000000008</v>
      </c>
      <c r="K103" s="131">
        <v>1969.62</v>
      </c>
      <c r="L103" s="130" t="s">
        <v>146</v>
      </c>
      <c r="M103" s="140">
        <f>+Baza_podataka[[#This Row],[Klikovi]]/Baza_podataka[[#This Row],[Prikazi]]</f>
        <v>2.8139005216369112E-2</v>
      </c>
      <c r="N103" s="139">
        <f>+Baza_podataka[[#This Row],[Prihod]]/Baza_podataka[[#This Row],[Trošak oglasa]]</f>
        <v>4.6812938536367428</v>
      </c>
      <c r="O103" s="141">
        <f>+Baza_podataka[[#This Row],[Trošak oglasa]]/Baza_podataka[[#This Row],[Prihod]]</f>
        <v>0.21361615640153267</v>
      </c>
    </row>
    <row r="104" spans="2:15" x14ac:dyDescent="0.3">
      <c r="B104" s="129">
        <v>45593</v>
      </c>
      <c r="C104" s="130" t="s">
        <v>458</v>
      </c>
      <c r="D104" s="130" t="s">
        <v>450</v>
      </c>
      <c r="E104" s="130" t="s">
        <v>448</v>
      </c>
      <c r="F104" s="130">
        <v>28078</v>
      </c>
      <c r="G104" s="130">
        <v>2004</v>
      </c>
      <c r="H104" s="130">
        <v>561</v>
      </c>
      <c r="I104" s="130">
        <v>21</v>
      </c>
      <c r="J104" s="131">
        <v>4327.92</v>
      </c>
      <c r="K104" s="131">
        <v>1737.65</v>
      </c>
      <c r="L104" s="130" t="s">
        <v>146</v>
      </c>
      <c r="M104" s="140">
        <f>+Baza_podataka[[#This Row],[Klikovi]]/Baza_podataka[[#This Row],[Prikazi]]</f>
        <v>7.1372604886387914E-2</v>
      </c>
      <c r="N104" s="139">
        <f>+Baza_podataka[[#This Row],[Prihod]]/Baza_podataka[[#This Row],[Trošak oglasa]]</f>
        <v>2.4906741864011739</v>
      </c>
      <c r="O104" s="141">
        <f>+Baza_podataka[[#This Row],[Trošak oglasa]]/Baza_podataka[[#This Row],[Prihod]]</f>
        <v>0.40149771714819127</v>
      </c>
    </row>
    <row r="105" spans="2:15" x14ac:dyDescent="0.3">
      <c r="B105" s="129">
        <v>45563</v>
      </c>
      <c r="C105" s="130" t="s">
        <v>458</v>
      </c>
      <c r="D105" s="130" t="s">
        <v>454</v>
      </c>
      <c r="E105" s="130" t="s">
        <v>443</v>
      </c>
      <c r="F105" s="130">
        <v>2203</v>
      </c>
      <c r="G105" s="130">
        <v>2023</v>
      </c>
      <c r="H105" s="130">
        <v>2592</v>
      </c>
      <c r="I105" s="130">
        <v>125</v>
      </c>
      <c r="J105" s="131">
        <v>9113.1</v>
      </c>
      <c r="K105" s="131">
        <v>299.3</v>
      </c>
      <c r="L105" s="130" t="s">
        <v>146</v>
      </c>
      <c r="M105" s="140">
        <f>+Baza_podataka[[#This Row],[Klikovi]]/Baza_podataka[[#This Row],[Prikazi]]</f>
        <v>0.91829323649568773</v>
      </c>
      <c r="N105" s="139">
        <f>+Baza_podataka[[#This Row],[Prihod]]/Baza_podataka[[#This Row],[Trošak oglasa]]</f>
        <v>30.448045439358502</v>
      </c>
      <c r="O105" s="141">
        <f>+Baza_podataka[[#This Row],[Trošak oglasa]]/Baza_podataka[[#This Row],[Prihod]]</f>
        <v>3.2842830650382418E-2</v>
      </c>
    </row>
    <row r="106" spans="2:15" x14ac:dyDescent="0.3">
      <c r="B106" s="129">
        <v>45370</v>
      </c>
      <c r="C106" s="130" t="s">
        <v>463</v>
      </c>
      <c r="D106" s="130" t="s">
        <v>451</v>
      </c>
      <c r="E106" s="130" t="s">
        <v>447</v>
      </c>
      <c r="F106" s="130">
        <v>2476</v>
      </c>
      <c r="G106" s="130">
        <v>804</v>
      </c>
      <c r="H106" s="130">
        <v>1844</v>
      </c>
      <c r="I106" s="130">
        <v>118</v>
      </c>
      <c r="J106" s="131">
        <v>1413.12</v>
      </c>
      <c r="K106" s="131">
        <v>730.33</v>
      </c>
      <c r="L106" s="130" t="s">
        <v>146</v>
      </c>
      <c r="M106" s="140">
        <f>+Baza_podataka[[#This Row],[Klikovi]]/Baza_podataka[[#This Row],[Prikazi]]</f>
        <v>0.32471728594507271</v>
      </c>
      <c r="N106" s="139">
        <f>+Baza_podataka[[#This Row],[Prihod]]/Baza_podataka[[#This Row],[Trošak oglasa]]</f>
        <v>1.9349061383210326</v>
      </c>
      <c r="O106" s="141">
        <f>+Baza_podataka[[#This Row],[Trošak oglasa]]/Baza_podataka[[#This Row],[Prihod]]</f>
        <v>0.51682093523550732</v>
      </c>
    </row>
    <row r="107" spans="2:15" x14ac:dyDescent="0.3">
      <c r="B107" s="129">
        <v>45469</v>
      </c>
      <c r="C107" s="130" t="s">
        <v>460</v>
      </c>
      <c r="D107" s="130" t="s">
        <v>454</v>
      </c>
      <c r="E107" s="130" t="s">
        <v>449</v>
      </c>
      <c r="F107" s="130">
        <v>18660</v>
      </c>
      <c r="G107" s="130">
        <v>2627</v>
      </c>
      <c r="H107" s="130">
        <v>641</v>
      </c>
      <c r="I107" s="130">
        <v>51</v>
      </c>
      <c r="J107" s="131">
        <v>1533.44</v>
      </c>
      <c r="K107" s="131">
        <v>1768.93</v>
      </c>
      <c r="L107" s="130" t="s">
        <v>147</v>
      </c>
      <c r="M107" s="140">
        <f>+Baza_podataka[[#This Row],[Klikovi]]/Baza_podataka[[#This Row],[Prikazi]]</f>
        <v>0.14078242229367632</v>
      </c>
      <c r="N107" s="139">
        <f>+Baza_podataka[[#This Row],[Prihod]]/Baza_podataka[[#This Row],[Trošak oglasa]]</f>
        <v>0.86687432515701579</v>
      </c>
      <c r="O107" s="141">
        <f>+Baza_podataka[[#This Row],[Trošak oglasa]]/Baza_podataka[[#This Row],[Prihod]]</f>
        <v>1.153569751669449</v>
      </c>
    </row>
    <row r="108" spans="2:15" x14ac:dyDescent="0.3">
      <c r="B108" s="129">
        <v>45537</v>
      </c>
      <c r="C108" s="130" t="s">
        <v>463</v>
      </c>
      <c r="D108" s="130" t="s">
        <v>450</v>
      </c>
      <c r="E108" s="130" t="s">
        <v>453</v>
      </c>
      <c r="F108" s="130">
        <v>2100</v>
      </c>
      <c r="G108" s="130">
        <v>489</v>
      </c>
      <c r="H108" s="130">
        <v>1714</v>
      </c>
      <c r="I108" s="130">
        <v>144</v>
      </c>
      <c r="J108" s="131">
        <v>3946.11</v>
      </c>
      <c r="K108" s="131">
        <v>198.01</v>
      </c>
      <c r="L108" s="130" t="s">
        <v>147</v>
      </c>
      <c r="M108" s="140">
        <f>+Baza_podataka[[#This Row],[Klikovi]]/Baza_podataka[[#This Row],[Prikazi]]</f>
        <v>0.23285714285714285</v>
      </c>
      <c r="N108" s="139">
        <f>+Baza_podataka[[#This Row],[Prihod]]/Baza_podataka[[#This Row],[Trošak oglasa]]</f>
        <v>19.928841977677898</v>
      </c>
      <c r="O108" s="141">
        <f>+Baza_podataka[[#This Row],[Trošak oglasa]]/Baza_podataka[[#This Row],[Prihod]]</f>
        <v>5.0178530248776637E-2</v>
      </c>
    </row>
    <row r="109" spans="2:15" x14ac:dyDescent="0.3">
      <c r="B109" s="129">
        <v>45470</v>
      </c>
      <c r="C109" s="130" t="s">
        <v>464</v>
      </c>
      <c r="D109" s="130" t="s">
        <v>462</v>
      </c>
      <c r="E109" s="130" t="s">
        <v>443</v>
      </c>
      <c r="F109" s="130">
        <v>8665</v>
      </c>
      <c r="G109" s="130">
        <v>276</v>
      </c>
      <c r="H109" s="130">
        <v>1556</v>
      </c>
      <c r="I109" s="130">
        <v>115</v>
      </c>
      <c r="J109" s="131">
        <v>6858.34</v>
      </c>
      <c r="K109" s="131">
        <v>2852.06</v>
      </c>
      <c r="L109" s="130" t="s">
        <v>146</v>
      </c>
      <c r="M109" s="140">
        <f>+Baza_podataka[[#This Row],[Klikovi]]/Baza_podataka[[#This Row],[Prikazi]]</f>
        <v>3.1852279284477786E-2</v>
      </c>
      <c r="N109" s="139">
        <f>+Baza_podataka[[#This Row],[Prihod]]/Baza_podataka[[#This Row],[Trošak oglasa]]</f>
        <v>2.4046969558845186</v>
      </c>
      <c r="O109" s="141">
        <f>+Baza_podataka[[#This Row],[Trošak oglasa]]/Baza_podataka[[#This Row],[Prihod]]</f>
        <v>0.41585281569592641</v>
      </c>
    </row>
    <row r="110" spans="2:15" x14ac:dyDescent="0.3">
      <c r="B110" s="129">
        <v>45597</v>
      </c>
      <c r="C110" s="130" t="s">
        <v>460</v>
      </c>
      <c r="D110" s="130" t="s">
        <v>454</v>
      </c>
      <c r="E110" s="130" t="s">
        <v>447</v>
      </c>
      <c r="F110" s="130">
        <v>8766</v>
      </c>
      <c r="G110" s="130">
        <v>974</v>
      </c>
      <c r="H110" s="130">
        <v>564</v>
      </c>
      <c r="I110" s="130">
        <v>122</v>
      </c>
      <c r="J110" s="131">
        <v>7397.21</v>
      </c>
      <c r="K110" s="131">
        <v>1718.36</v>
      </c>
      <c r="L110" s="130" t="s">
        <v>146</v>
      </c>
      <c r="M110" s="140">
        <f>+Baza_podataka[[#This Row],[Klikovi]]/Baza_podataka[[#This Row],[Prikazi]]</f>
        <v>0.1111111111111111</v>
      </c>
      <c r="N110" s="139">
        <f>+Baza_podataka[[#This Row],[Prihod]]/Baza_podataka[[#This Row],[Trošak oglasa]]</f>
        <v>4.3048080728136133</v>
      </c>
      <c r="O110" s="141">
        <f>+Baza_podataka[[#This Row],[Trošak oglasa]]/Baza_podataka[[#This Row],[Prihod]]</f>
        <v>0.23229839358352675</v>
      </c>
    </row>
    <row r="111" spans="2:15" x14ac:dyDescent="0.3">
      <c r="B111" s="129">
        <v>45594</v>
      </c>
      <c r="C111" s="130" t="s">
        <v>464</v>
      </c>
      <c r="D111" s="130" t="s">
        <v>451</v>
      </c>
      <c r="E111" s="130" t="s">
        <v>449</v>
      </c>
      <c r="F111" s="130">
        <v>16398</v>
      </c>
      <c r="G111" s="130">
        <v>2731</v>
      </c>
      <c r="H111" s="130">
        <v>3434</v>
      </c>
      <c r="I111" s="130">
        <v>31</v>
      </c>
      <c r="J111" s="131">
        <v>4718.88</v>
      </c>
      <c r="K111" s="131">
        <v>2743.4</v>
      </c>
      <c r="L111" s="130" t="s">
        <v>147</v>
      </c>
      <c r="M111" s="140">
        <f>+Baza_podataka[[#This Row],[Klikovi]]/Baza_podataka[[#This Row],[Prikazi]]</f>
        <v>0.16654470057324064</v>
      </c>
      <c r="N111" s="139">
        <f>+Baza_podataka[[#This Row],[Prihod]]/Baza_podataka[[#This Row],[Trošak oglasa]]</f>
        <v>1.7200845665961946</v>
      </c>
      <c r="O111" s="141">
        <f>+Baza_podataka[[#This Row],[Trošak oglasa]]/Baza_podataka[[#This Row],[Prihod]]</f>
        <v>0.58136676499508355</v>
      </c>
    </row>
    <row r="112" spans="2:15" x14ac:dyDescent="0.3">
      <c r="B112" s="129">
        <v>45314</v>
      </c>
      <c r="C112" s="130" t="s">
        <v>460</v>
      </c>
      <c r="D112" s="130" t="s">
        <v>454</v>
      </c>
      <c r="E112" s="130" t="s">
        <v>449</v>
      </c>
      <c r="F112" s="130">
        <v>29570</v>
      </c>
      <c r="G112" s="130">
        <v>2901</v>
      </c>
      <c r="H112" s="130">
        <v>1111</v>
      </c>
      <c r="I112" s="130">
        <v>136</v>
      </c>
      <c r="J112" s="131">
        <v>2746.38</v>
      </c>
      <c r="K112" s="131">
        <v>1288.81</v>
      </c>
      <c r="L112" s="130" t="s">
        <v>147</v>
      </c>
      <c r="M112" s="140">
        <f>+Baza_podataka[[#This Row],[Klikovi]]/Baza_podataka[[#This Row],[Prikazi]]</f>
        <v>9.8106188704768352E-2</v>
      </c>
      <c r="N112" s="139">
        <f>+Baza_podataka[[#This Row],[Prihod]]/Baza_podataka[[#This Row],[Trošak oglasa]]</f>
        <v>2.13094249734251</v>
      </c>
      <c r="O112" s="141">
        <f>+Baza_podataka[[#This Row],[Trošak oglasa]]/Baza_podataka[[#This Row],[Prihod]]</f>
        <v>0.46927591957413028</v>
      </c>
    </row>
    <row r="113" spans="2:15" x14ac:dyDescent="0.3">
      <c r="B113" s="129">
        <v>45622</v>
      </c>
      <c r="C113" s="130" t="s">
        <v>464</v>
      </c>
      <c r="D113" s="130" t="s">
        <v>450</v>
      </c>
      <c r="E113" s="130" t="s">
        <v>453</v>
      </c>
      <c r="F113" s="130">
        <v>34575</v>
      </c>
      <c r="G113" s="130">
        <v>1115</v>
      </c>
      <c r="H113" s="130">
        <v>1259</v>
      </c>
      <c r="I113" s="130">
        <v>182</v>
      </c>
      <c r="J113" s="131">
        <v>9420.24</v>
      </c>
      <c r="K113" s="131">
        <v>500.7</v>
      </c>
      <c r="L113" s="130" t="s">
        <v>147</v>
      </c>
      <c r="M113" s="140">
        <f>+Baza_podataka[[#This Row],[Klikovi]]/Baza_podataka[[#This Row],[Prikazi]]</f>
        <v>3.2248734634851769E-2</v>
      </c>
      <c r="N113" s="139">
        <f>+Baza_podataka[[#This Row],[Prihod]]/Baza_podataka[[#This Row],[Trošak oglasa]]</f>
        <v>18.8141402037148</v>
      </c>
      <c r="O113" s="141">
        <f>+Baza_podataka[[#This Row],[Trošak oglasa]]/Baza_podataka[[#This Row],[Prihod]]</f>
        <v>5.3151512063386919E-2</v>
      </c>
    </row>
    <row r="114" spans="2:15" x14ac:dyDescent="0.3">
      <c r="B114" s="129">
        <v>45648</v>
      </c>
      <c r="C114" s="130" t="s">
        <v>460</v>
      </c>
      <c r="D114" s="130" t="s">
        <v>446</v>
      </c>
      <c r="E114" s="130" t="s">
        <v>452</v>
      </c>
      <c r="F114" s="130">
        <v>8113</v>
      </c>
      <c r="G114" s="130">
        <v>2205</v>
      </c>
      <c r="H114" s="130">
        <v>2785</v>
      </c>
      <c r="I114" s="130">
        <v>78</v>
      </c>
      <c r="J114" s="131">
        <v>1565.7</v>
      </c>
      <c r="K114" s="131">
        <v>2915.77</v>
      </c>
      <c r="L114" s="130" t="s">
        <v>146</v>
      </c>
      <c r="M114" s="140">
        <f>+Baza_podataka[[#This Row],[Klikovi]]/Baza_podataka[[#This Row],[Prikazi]]</f>
        <v>0.27178602243313199</v>
      </c>
      <c r="N114" s="139">
        <f>+Baza_podataka[[#This Row],[Prihod]]/Baza_podataka[[#This Row],[Trošak oglasa]]</f>
        <v>0.53697651049294015</v>
      </c>
      <c r="O114" s="141">
        <f>+Baza_podataka[[#This Row],[Trošak oglasa]]/Baza_podataka[[#This Row],[Prihod]]</f>
        <v>1.8622788529092418</v>
      </c>
    </row>
    <row r="115" spans="2:15" x14ac:dyDescent="0.3">
      <c r="B115" s="129">
        <v>45315</v>
      </c>
      <c r="C115" s="130" t="s">
        <v>459</v>
      </c>
      <c r="D115" s="130" t="s">
        <v>446</v>
      </c>
      <c r="E115" s="130" t="s">
        <v>447</v>
      </c>
      <c r="F115" s="130">
        <v>19166</v>
      </c>
      <c r="G115" s="130">
        <v>1386</v>
      </c>
      <c r="H115" s="130">
        <v>1365</v>
      </c>
      <c r="I115" s="130">
        <v>78</v>
      </c>
      <c r="J115" s="131">
        <v>2485.33</v>
      </c>
      <c r="K115" s="131">
        <v>390.9</v>
      </c>
      <c r="L115" s="130" t="s">
        <v>146</v>
      </c>
      <c r="M115" s="140">
        <f>+Baza_podataka[[#This Row],[Klikovi]]/Baza_podataka[[#This Row],[Prikazi]]</f>
        <v>7.2315558802045293E-2</v>
      </c>
      <c r="N115" s="139">
        <f>+Baza_podataka[[#This Row],[Prihod]]/Baza_podataka[[#This Row],[Trošak oglasa]]</f>
        <v>6.35796878997186</v>
      </c>
      <c r="O115" s="141">
        <f>+Baza_podataka[[#This Row],[Trošak oglasa]]/Baza_podataka[[#This Row],[Prihod]]</f>
        <v>0.15728293627003254</v>
      </c>
    </row>
    <row r="116" spans="2:15" x14ac:dyDescent="0.3">
      <c r="B116" s="129">
        <v>45508</v>
      </c>
      <c r="C116" s="130" t="s">
        <v>460</v>
      </c>
      <c r="D116" s="130" t="s">
        <v>446</v>
      </c>
      <c r="E116" s="130" t="s">
        <v>443</v>
      </c>
      <c r="F116" s="130">
        <v>11454</v>
      </c>
      <c r="G116" s="130">
        <v>1462</v>
      </c>
      <c r="H116" s="130">
        <v>1415</v>
      </c>
      <c r="I116" s="130">
        <v>82</v>
      </c>
      <c r="J116" s="131">
        <v>2700.03</v>
      </c>
      <c r="K116" s="131">
        <v>1462.43</v>
      </c>
      <c r="L116" s="130" t="s">
        <v>146</v>
      </c>
      <c r="M116" s="140">
        <f>+Baza_podataka[[#This Row],[Klikovi]]/Baza_podataka[[#This Row],[Prikazi]]</f>
        <v>0.12764099877771956</v>
      </c>
      <c r="N116" s="139">
        <f>+Baza_podataka[[#This Row],[Prihod]]/Baza_podataka[[#This Row],[Trošak oglasa]]</f>
        <v>1.846262727104887</v>
      </c>
      <c r="O116" s="141">
        <f>+Baza_podataka[[#This Row],[Trošak oglasa]]/Baza_podataka[[#This Row],[Prihod]]</f>
        <v>0.5416347225771565</v>
      </c>
    </row>
    <row r="117" spans="2:15" x14ac:dyDescent="0.3">
      <c r="B117" s="129">
        <v>45585</v>
      </c>
      <c r="C117" s="130" t="s">
        <v>464</v>
      </c>
      <c r="D117" s="130" t="s">
        <v>454</v>
      </c>
      <c r="E117" s="130" t="s">
        <v>453</v>
      </c>
      <c r="F117" s="130">
        <v>40862</v>
      </c>
      <c r="G117" s="130">
        <v>153</v>
      </c>
      <c r="H117" s="130">
        <v>1139</v>
      </c>
      <c r="I117" s="130">
        <v>97</v>
      </c>
      <c r="J117" s="131">
        <v>5458.39</v>
      </c>
      <c r="K117" s="131">
        <v>2866.26</v>
      </c>
      <c r="L117" s="130" t="s">
        <v>147</v>
      </c>
      <c r="M117" s="140">
        <f>+Baza_podataka[[#This Row],[Klikovi]]/Baza_podataka[[#This Row],[Prikazi]]</f>
        <v>3.7443101169791003E-3</v>
      </c>
      <c r="N117" s="139">
        <f>+Baza_podataka[[#This Row],[Prihod]]/Baza_podataka[[#This Row],[Trošak oglasa]]</f>
        <v>1.9043596882348426</v>
      </c>
      <c r="O117" s="141">
        <f>+Baza_podataka[[#This Row],[Trošak oglasa]]/Baza_podataka[[#This Row],[Prihod]]</f>
        <v>0.52511088434501751</v>
      </c>
    </row>
    <row r="118" spans="2:15" x14ac:dyDescent="0.3">
      <c r="B118" s="129">
        <v>45323</v>
      </c>
      <c r="C118" s="130" t="s">
        <v>458</v>
      </c>
      <c r="D118" s="130" t="s">
        <v>450</v>
      </c>
      <c r="E118" s="130" t="s">
        <v>453</v>
      </c>
      <c r="F118" s="130">
        <v>39013</v>
      </c>
      <c r="G118" s="130">
        <v>1863</v>
      </c>
      <c r="H118" s="130">
        <v>2542</v>
      </c>
      <c r="I118" s="130">
        <v>142</v>
      </c>
      <c r="J118" s="131">
        <v>4943.25</v>
      </c>
      <c r="K118" s="131">
        <v>1935.71</v>
      </c>
      <c r="L118" s="130" t="s">
        <v>146</v>
      </c>
      <c r="M118" s="140">
        <f>+Baza_podataka[[#This Row],[Klikovi]]/Baza_podataka[[#This Row],[Prikazi]]</f>
        <v>4.7753312998231358E-2</v>
      </c>
      <c r="N118" s="139">
        <f>+Baza_podataka[[#This Row],[Prihod]]/Baza_podataka[[#This Row],[Trošak oglasa]]</f>
        <v>2.553714141064519</v>
      </c>
      <c r="O118" s="141">
        <f>+Baza_podataka[[#This Row],[Trošak oglasa]]/Baza_podataka[[#This Row],[Prihod]]</f>
        <v>0.39158650685277907</v>
      </c>
    </row>
    <row r="119" spans="2:15" x14ac:dyDescent="0.3">
      <c r="B119" s="129">
        <v>45316</v>
      </c>
      <c r="C119" s="130" t="s">
        <v>463</v>
      </c>
      <c r="D119" s="130" t="s">
        <v>451</v>
      </c>
      <c r="E119" s="130" t="s">
        <v>447</v>
      </c>
      <c r="F119" s="130">
        <v>21435</v>
      </c>
      <c r="G119" s="130">
        <v>972</v>
      </c>
      <c r="H119" s="130">
        <v>1232</v>
      </c>
      <c r="I119" s="130">
        <v>25</v>
      </c>
      <c r="J119" s="131">
        <v>4348.22</v>
      </c>
      <c r="K119" s="131">
        <v>2809.81</v>
      </c>
      <c r="L119" s="130" t="s">
        <v>146</v>
      </c>
      <c r="M119" s="140">
        <f>+Baza_podataka[[#This Row],[Klikovi]]/Baza_podataka[[#This Row],[Prikazi]]</f>
        <v>4.5346396081175647E-2</v>
      </c>
      <c r="N119" s="139">
        <f>+Baza_podataka[[#This Row],[Prihod]]/Baza_podataka[[#This Row],[Trošak oglasa]]</f>
        <v>1.5475138888394591</v>
      </c>
      <c r="O119" s="141">
        <f>+Baza_podataka[[#This Row],[Trošak oglasa]]/Baza_podataka[[#This Row],[Prihod]]</f>
        <v>0.64619775448344374</v>
      </c>
    </row>
    <row r="120" spans="2:15" x14ac:dyDescent="0.3">
      <c r="B120" s="129">
        <v>45558</v>
      </c>
      <c r="C120" s="130" t="s">
        <v>464</v>
      </c>
      <c r="D120" s="130" t="s">
        <v>454</v>
      </c>
      <c r="E120" s="130" t="s">
        <v>448</v>
      </c>
      <c r="F120" s="130">
        <v>19533</v>
      </c>
      <c r="G120" s="130">
        <v>654</v>
      </c>
      <c r="H120" s="130">
        <v>756</v>
      </c>
      <c r="I120" s="130">
        <v>66</v>
      </c>
      <c r="J120" s="131">
        <v>4154.3100000000004</v>
      </c>
      <c r="K120" s="131">
        <v>1437.83</v>
      </c>
      <c r="L120" s="130" t="s">
        <v>147</v>
      </c>
      <c r="M120" s="140">
        <f>+Baza_podataka[[#This Row],[Klikovi]]/Baza_podataka[[#This Row],[Prikazi]]</f>
        <v>3.3481800030717247E-2</v>
      </c>
      <c r="N120" s="139">
        <f>+Baza_podataka[[#This Row],[Prihod]]/Baza_podataka[[#This Row],[Trošak oglasa]]</f>
        <v>2.889291501776984</v>
      </c>
      <c r="O120" s="141">
        <f>+Baza_podataka[[#This Row],[Trošak oglasa]]/Baza_podataka[[#This Row],[Prihod]]</f>
        <v>0.34610561079938662</v>
      </c>
    </row>
    <row r="121" spans="2:15" x14ac:dyDescent="0.3">
      <c r="B121" s="129">
        <v>45626</v>
      </c>
      <c r="C121" s="130" t="s">
        <v>464</v>
      </c>
      <c r="D121" s="130" t="s">
        <v>454</v>
      </c>
      <c r="E121" s="130" t="s">
        <v>452</v>
      </c>
      <c r="F121" s="130">
        <v>48479</v>
      </c>
      <c r="G121" s="130">
        <v>2749</v>
      </c>
      <c r="H121" s="130">
        <v>2150</v>
      </c>
      <c r="I121" s="130">
        <v>180</v>
      </c>
      <c r="J121" s="131">
        <v>3650.58</v>
      </c>
      <c r="K121" s="131">
        <v>1055.4100000000001</v>
      </c>
      <c r="L121" s="130" t="s">
        <v>146</v>
      </c>
      <c r="M121" s="140">
        <f>+Baza_podataka[[#This Row],[Klikovi]]/Baza_podataka[[#This Row],[Prikazi]]</f>
        <v>5.6704965036407519E-2</v>
      </c>
      <c r="N121" s="139">
        <f>+Baza_podataka[[#This Row],[Prihod]]/Baza_podataka[[#This Row],[Trošak oglasa]]</f>
        <v>3.4589211775518516</v>
      </c>
      <c r="O121" s="141">
        <f>+Baza_podataka[[#This Row],[Trošak oglasa]]/Baza_podataka[[#This Row],[Prihod]]</f>
        <v>0.28910748429016764</v>
      </c>
    </row>
    <row r="122" spans="2:15" x14ac:dyDescent="0.3">
      <c r="B122" s="129">
        <v>45341</v>
      </c>
      <c r="C122" s="130" t="s">
        <v>463</v>
      </c>
      <c r="D122" s="130" t="s">
        <v>450</v>
      </c>
      <c r="E122" s="130" t="s">
        <v>453</v>
      </c>
      <c r="F122" s="130">
        <v>16978</v>
      </c>
      <c r="G122" s="130">
        <v>1762</v>
      </c>
      <c r="H122" s="130">
        <v>3292</v>
      </c>
      <c r="I122" s="130">
        <v>88</v>
      </c>
      <c r="J122" s="131">
        <v>8295.18</v>
      </c>
      <c r="K122" s="131">
        <v>2087.1799999999998</v>
      </c>
      <c r="L122" s="130" t="s">
        <v>146</v>
      </c>
      <c r="M122" s="140">
        <f>+Baza_podataka[[#This Row],[Klikovi]]/Baza_podataka[[#This Row],[Prikazi]]</f>
        <v>0.1037813641182707</v>
      </c>
      <c r="N122" s="139">
        <f>+Baza_podataka[[#This Row],[Prihod]]/Baza_podataka[[#This Row],[Trošak oglasa]]</f>
        <v>3.9743481635508204</v>
      </c>
      <c r="O122" s="141">
        <f>+Baza_podataka[[#This Row],[Trošak oglasa]]/Baza_podataka[[#This Row],[Prihod]]</f>
        <v>0.25161358764969532</v>
      </c>
    </row>
    <row r="123" spans="2:15" x14ac:dyDescent="0.3">
      <c r="B123" s="129">
        <v>45624</v>
      </c>
      <c r="C123" s="130" t="s">
        <v>459</v>
      </c>
      <c r="D123" s="130" t="s">
        <v>446</v>
      </c>
      <c r="E123" s="130" t="s">
        <v>448</v>
      </c>
      <c r="F123" s="130">
        <v>28632</v>
      </c>
      <c r="G123" s="130">
        <v>1574</v>
      </c>
      <c r="H123" s="130">
        <v>922</v>
      </c>
      <c r="I123" s="130">
        <v>163</v>
      </c>
      <c r="J123" s="131">
        <v>4766.3900000000003</v>
      </c>
      <c r="K123" s="131">
        <v>1812.34</v>
      </c>
      <c r="L123" s="130" t="s">
        <v>147</v>
      </c>
      <c r="M123" s="140">
        <f>+Baza_podataka[[#This Row],[Klikovi]]/Baza_podataka[[#This Row],[Prikazi]]</f>
        <v>5.4973456272701872E-2</v>
      </c>
      <c r="N123" s="139">
        <f>+Baza_podataka[[#This Row],[Prihod]]/Baza_podataka[[#This Row],[Trošak oglasa]]</f>
        <v>2.6299645761832773</v>
      </c>
      <c r="O123" s="141">
        <f>+Baza_podataka[[#This Row],[Trošak oglasa]]/Baza_podataka[[#This Row],[Prihod]]</f>
        <v>0.38023325829401283</v>
      </c>
    </row>
    <row r="124" spans="2:15" x14ac:dyDescent="0.3">
      <c r="B124" s="129">
        <v>45484</v>
      </c>
      <c r="C124" s="130" t="s">
        <v>459</v>
      </c>
      <c r="D124" s="130" t="s">
        <v>450</v>
      </c>
      <c r="E124" s="130" t="s">
        <v>449</v>
      </c>
      <c r="F124" s="130">
        <v>14012</v>
      </c>
      <c r="G124" s="130">
        <v>1887</v>
      </c>
      <c r="H124" s="130">
        <v>1722</v>
      </c>
      <c r="I124" s="130">
        <v>174</v>
      </c>
      <c r="J124" s="131">
        <v>3756.41</v>
      </c>
      <c r="K124" s="131">
        <v>2032.45</v>
      </c>
      <c r="L124" s="130" t="s">
        <v>147</v>
      </c>
      <c r="M124" s="140">
        <f>+Baza_podataka[[#This Row],[Klikovi]]/Baza_podataka[[#This Row],[Prikazi]]</f>
        <v>0.13467028261490152</v>
      </c>
      <c r="N124" s="139">
        <f>+Baza_podataka[[#This Row],[Prihod]]/Baza_podataka[[#This Row],[Trošak oglasa]]</f>
        <v>1.8482176683313241</v>
      </c>
      <c r="O124" s="141">
        <f>+Baza_podataka[[#This Row],[Trošak oglasa]]/Baza_podataka[[#This Row],[Prihod]]</f>
        <v>0.54106181167657419</v>
      </c>
    </row>
    <row r="125" spans="2:15" x14ac:dyDescent="0.3">
      <c r="B125" s="129">
        <v>45606</v>
      </c>
      <c r="C125" s="130" t="s">
        <v>464</v>
      </c>
      <c r="D125" s="130" t="s">
        <v>462</v>
      </c>
      <c r="E125" s="130" t="s">
        <v>453</v>
      </c>
      <c r="F125" s="130">
        <v>24082</v>
      </c>
      <c r="G125" s="130">
        <v>2236</v>
      </c>
      <c r="H125" s="130">
        <v>1694</v>
      </c>
      <c r="I125" s="130">
        <v>177</v>
      </c>
      <c r="J125" s="131">
        <v>8039.69</v>
      </c>
      <c r="K125" s="131">
        <v>1897.48</v>
      </c>
      <c r="L125" s="130" t="s">
        <v>147</v>
      </c>
      <c r="M125" s="140">
        <f>+Baza_podataka[[#This Row],[Klikovi]]/Baza_podataka[[#This Row],[Prikazi]]</f>
        <v>9.2849431110372888E-2</v>
      </c>
      <c r="N125" s="139">
        <f>+Baza_podataka[[#This Row],[Prihod]]/Baza_podataka[[#This Row],[Trošak oglasa]]</f>
        <v>4.2370354364736382</v>
      </c>
      <c r="O125" s="141">
        <f>+Baza_podataka[[#This Row],[Trošak oglasa]]/Baza_podataka[[#This Row],[Prihod]]</f>
        <v>0.23601407516956502</v>
      </c>
    </row>
    <row r="126" spans="2:15" x14ac:dyDescent="0.3">
      <c r="B126" s="129">
        <v>45302</v>
      </c>
      <c r="C126" s="130" t="s">
        <v>464</v>
      </c>
      <c r="D126" s="130" t="s">
        <v>450</v>
      </c>
      <c r="E126" s="130" t="s">
        <v>448</v>
      </c>
      <c r="F126" s="130">
        <v>18690</v>
      </c>
      <c r="G126" s="130">
        <v>2039</v>
      </c>
      <c r="H126" s="130">
        <v>2842</v>
      </c>
      <c r="I126" s="130">
        <v>106</v>
      </c>
      <c r="J126" s="131">
        <v>751.98</v>
      </c>
      <c r="K126" s="131">
        <v>1940.07</v>
      </c>
      <c r="L126" s="130" t="s">
        <v>147</v>
      </c>
      <c r="M126" s="140">
        <f>+Baza_podataka[[#This Row],[Klikovi]]/Baza_podataka[[#This Row],[Prikazi]]</f>
        <v>0.10909577314071696</v>
      </c>
      <c r="N126" s="139">
        <f>+Baza_podataka[[#This Row],[Prihod]]/Baza_podataka[[#This Row],[Trošak oglasa]]</f>
        <v>0.38760457096908879</v>
      </c>
      <c r="O126" s="141">
        <f>+Baza_podataka[[#This Row],[Trošak oglasa]]/Baza_podataka[[#This Row],[Prihod]]</f>
        <v>2.5799489348120961</v>
      </c>
    </row>
    <row r="127" spans="2:15" x14ac:dyDescent="0.3">
      <c r="B127" s="129">
        <v>45442</v>
      </c>
      <c r="C127" s="130" t="s">
        <v>459</v>
      </c>
      <c r="D127" s="130" t="s">
        <v>462</v>
      </c>
      <c r="E127" s="130" t="s">
        <v>449</v>
      </c>
      <c r="F127" s="130">
        <v>43750</v>
      </c>
      <c r="G127" s="130">
        <v>2957</v>
      </c>
      <c r="H127" s="130">
        <v>3090</v>
      </c>
      <c r="I127" s="130">
        <v>10</v>
      </c>
      <c r="J127" s="131">
        <v>7710.41</v>
      </c>
      <c r="K127" s="131">
        <v>979.22</v>
      </c>
      <c r="L127" s="130" t="s">
        <v>147</v>
      </c>
      <c r="M127" s="140">
        <f>+Baza_podataka[[#This Row],[Klikovi]]/Baza_podataka[[#This Row],[Prikazi]]</f>
        <v>6.7588571428571428E-2</v>
      </c>
      <c r="N127" s="139">
        <f>+Baza_podataka[[#This Row],[Prihod]]/Baza_podataka[[#This Row],[Trošak oglasa]]</f>
        <v>7.8740323931292249</v>
      </c>
      <c r="O127" s="141">
        <f>+Baza_podataka[[#This Row],[Trošak oglasa]]/Baza_podataka[[#This Row],[Prihod]]</f>
        <v>0.12699973153178626</v>
      </c>
    </row>
    <row r="128" spans="2:15" x14ac:dyDescent="0.3">
      <c r="B128" s="129">
        <v>45314</v>
      </c>
      <c r="C128" s="130" t="s">
        <v>460</v>
      </c>
      <c r="D128" s="130" t="s">
        <v>454</v>
      </c>
      <c r="E128" s="130" t="s">
        <v>452</v>
      </c>
      <c r="F128" s="130">
        <v>12817</v>
      </c>
      <c r="G128" s="130">
        <v>1075</v>
      </c>
      <c r="H128" s="130">
        <v>391</v>
      </c>
      <c r="I128" s="130">
        <v>150</v>
      </c>
      <c r="J128" s="131">
        <v>8797.6299999999992</v>
      </c>
      <c r="K128" s="131">
        <v>240.55</v>
      </c>
      <c r="L128" s="130" t="s">
        <v>146</v>
      </c>
      <c r="M128" s="140">
        <f>+Baza_podataka[[#This Row],[Klikovi]]/Baza_podataka[[#This Row],[Prikazi]]</f>
        <v>8.387298119684794E-2</v>
      </c>
      <c r="N128" s="139">
        <f>+Baza_podataka[[#This Row],[Prihod]]/Baza_podataka[[#This Row],[Trošak oglasa]]</f>
        <v>36.572978590729576</v>
      </c>
      <c r="O128" s="141">
        <f>+Baza_podataka[[#This Row],[Trošak oglasa]]/Baza_podataka[[#This Row],[Prihod]]</f>
        <v>2.7342591129656514E-2</v>
      </c>
    </row>
  </sheetData>
  <mergeCells count="1">
    <mergeCell ref="B2:O4"/>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3B63E-A707-4749-8CA8-0F33A6EED888}">
  <sheetPr>
    <tabColor theme="4" tint="0.59999389629810485"/>
  </sheetPr>
  <dimension ref="D1:T25"/>
  <sheetViews>
    <sheetView showGridLines="0" topLeftCell="C1" workbookViewId="0">
      <selection activeCell="C1" sqref="C1"/>
    </sheetView>
  </sheetViews>
  <sheetFormatPr defaultRowHeight="14.4" x14ac:dyDescent="0.3"/>
  <cols>
    <col min="4" max="5" width="12.44140625" bestFit="1" customWidth="1"/>
    <col min="7" max="8" width="12.44140625" bestFit="1" customWidth="1"/>
    <col min="10" max="11" width="12.44140625" bestFit="1" customWidth="1"/>
    <col min="13" max="13" width="13.77734375" bestFit="1" customWidth="1"/>
    <col min="14" max="14" width="15.77734375" bestFit="1" customWidth="1"/>
  </cols>
  <sheetData>
    <row r="1" spans="4:20" ht="18.600000000000001" customHeight="1" thickBot="1" x14ac:dyDescent="0.35">
      <c r="D1" s="144" t="s">
        <v>516</v>
      </c>
      <c r="E1" s="144"/>
      <c r="F1" s="144"/>
      <c r="G1" s="144"/>
      <c r="H1" s="144"/>
      <c r="I1" s="144"/>
      <c r="J1" s="144"/>
      <c r="K1" s="144"/>
      <c r="L1" s="144"/>
      <c r="M1" s="144"/>
      <c r="N1" s="144"/>
      <c r="O1" s="144"/>
      <c r="P1" s="144"/>
      <c r="Q1" s="144"/>
      <c r="R1" s="144"/>
      <c r="S1" s="144"/>
      <c r="T1" s="144"/>
    </row>
    <row r="2" spans="4:20" ht="15" thickTop="1" x14ac:dyDescent="0.3"/>
    <row r="6" spans="4:20" x14ac:dyDescent="0.3">
      <c r="D6" s="5" t="s">
        <v>148</v>
      </c>
      <c r="E6" t="s">
        <v>476</v>
      </c>
      <c r="G6" s="5" t="s">
        <v>148</v>
      </c>
      <c r="H6" t="s">
        <v>476</v>
      </c>
      <c r="J6" s="5" t="s">
        <v>148</v>
      </c>
      <c r="K6" t="s">
        <v>476</v>
      </c>
      <c r="M6" s="5" t="s">
        <v>148</v>
      </c>
      <c r="N6" t="s">
        <v>477</v>
      </c>
    </row>
    <row r="7" spans="4:20" x14ac:dyDescent="0.3">
      <c r="D7" s="6" t="s">
        <v>464</v>
      </c>
      <c r="E7" s="132">
        <v>131953.51</v>
      </c>
      <c r="G7" s="6" t="s">
        <v>450</v>
      </c>
      <c r="H7" s="132">
        <v>126384.86</v>
      </c>
      <c r="J7" s="6" t="s">
        <v>443</v>
      </c>
      <c r="K7" s="132">
        <v>109294.39999999999</v>
      </c>
      <c r="M7" s="6" t="s">
        <v>450</v>
      </c>
      <c r="N7" s="230">
        <v>2888</v>
      </c>
    </row>
    <row r="8" spans="4:20" x14ac:dyDescent="0.3">
      <c r="D8" s="6" t="s">
        <v>463</v>
      </c>
      <c r="E8" s="132">
        <v>115753.17000000001</v>
      </c>
      <c r="G8" s="6" t="s">
        <v>454</v>
      </c>
      <c r="H8" s="132">
        <v>113834.83000000002</v>
      </c>
      <c r="J8" s="6" t="s">
        <v>448</v>
      </c>
      <c r="K8" s="132">
        <v>104941.09</v>
      </c>
      <c r="M8" s="6" t="s">
        <v>454</v>
      </c>
      <c r="N8" s="230">
        <v>2698</v>
      </c>
    </row>
    <row r="9" spans="4:20" x14ac:dyDescent="0.3">
      <c r="D9" s="6" t="s">
        <v>459</v>
      </c>
      <c r="E9" s="132">
        <v>111565.31000000001</v>
      </c>
      <c r="G9" s="6" t="s">
        <v>462</v>
      </c>
      <c r="H9" s="132">
        <v>115320.17000000001</v>
      </c>
      <c r="J9" s="6" t="s">
        <v>453</v>
      </c>
      <c r="K9" s="132">
        <v>102431.95000000001</v>
      </c>
      <c r="M9" s="6" t="s">
        <v>446</v>
      </c>
      <c r="N9" s="230">
        <v>2553</v>
      </c>
    </row>
    <row r="10" spans="4:20" x14ac:dyDescent="0.3">
      <c r="D10" s="6" t="s">
        <v>149</v>
      </c>
      <c r="E10" s="132">
        <v>359271.99000000005</v>
      </c>
      <c r="G10" s="6" t="s">
        <v>149</v>
      </c>
      <c r="H10" s="132">
        <v>355539.86</v>
      </c>
      <c r="J10" s="6" t="s">
        <v>447</v>
      </c>
      <c r="K10" s="132">
        <v>87919.81</v>
      </c>
      <c r="M10" s="6" t="s">
        <v>451</v>
      </c>
      <c r="N10" s="230">
        <v>1862</v>
      </c>
    </row>
    <row r="11" spans="4:20" x14ac:dyDescent="0.3">
      <c r="J11" s="6" t="s">
        <v>445</v>
      </c>
      <c r="K11" s="132">
        <v>81708.669999999984</v>
      </c>
      <c r="M11" s="6" t="s">
        <v>462</v>
      </c>
      <c r="N11" s="230">
        <v>1770</v>
      </c>
    </row>
    <row r="12" spans="4:20" x14ac:dyDescent="0.3">
      <c r="J12" s="6" t="s">
        <v>149</v>
      </c>
      <c r="K12" s="132">
        <v>486295.92</v>
      </c>
      <c r="M12" s="6" t="s">
        <v>444</v>
      </c>
      <c r="N12" s="230">
        <v>1302</v>
      </c>
    </row>
    <row r="13" spans="4:20" x14ac:dyDescent="0.3">
      <c r="M13" s="6" t="s">
        <v>149</v>
      </c>
      <c r="N13" s="230">
        <v>13073</v>
      </c>
    </row>
    <row r="18" spans="4:8" x14ac:dyDescent="0.3">
      <c r="D18" s="5" t="s">
        <v>148</v>
      </c>
      <c r="E18" t="s">
        <v>499</v>
      </c>
      <c r="G18" s="5" t="s">
        <v>148</v>
      </c>
      <c r="H18" t="s">
        <v>476</v>
      </c>
    </row>
    <row r="19" spans="4:8" x14ac:dyDescent="0.3">
      <c r="D19" s="6" t="s">
        <v>462</v>
      </c>
      <c r="E19" s="137">
        <v>18.171511887971246</v>
      </c>
      <c r="G19" s="6" t="s">
        <v>502</v>
      </c>
      <c r="H19" s="132">
        <v>187289.55</v>
      </c>
    </row>
    <row r="20" spans="4:8" x14ac:dyDescent="0.3">
      <c r="D20" s="6" t="s">
        <v>444</v>
      </c>
      <c r="E20" s="137">
        <v>9.3888373203717421</v>
      </c>
      <c r="G20" s="6" t="s">
        <v>536</v>
      </c>
      <c r="H20" s="132">
        <v>104961.01999999999</v>
      </c>
    </row>
    <row r="21" spans="4:8" x14ac:dyDescent="0.3">
      <c r="D21" s="6" t="s">
        <v>446</v>
      </c>
      <c r="E21" s="137">
        <v>9.1527179328859507</v>
      </c>
      <c r="G21" s="6" t="s">
        <v>537</v>
      </c>
      <c r="H21" s="132">
        <v>107247.36999999998</v>
      </c>
    </row>
    <row r="22" spans="4:8" x14ac:dyDescent="0.3">
      <c r="D22" s="6" t="s">
        <v>454</v>
      </c>
      <c r="E22" s="137">
        <v>8.2180281646254532</v>
      </c>
      <c r="G22" s="6" t="s">
        <v>538</v>
      </c>
      <c r="H22" s="132">
        <v>221825.81000000006</v>
      </c>
    </row>
    <row r="23" spans="4:8" x14ac:dyDescent="0.3">
      <c r="D23" s="6" t="s">
        <v>450</v>
      </c>
      <c r="E23" s="137">
        <v>4.4740650682185858</v>
      </c>
      <c r="G23" s="6" t="s">
        <v>149</v>
      </c>
      <c r="H23" s="132">
        <v>621323.75</v>
      </c>
    </row>
    <row r="24" spans="4:8" x14ac:dyDescent="0.3">
      <c r="D24" s="6" t="s">
        <v>451</v>
      </c>
      <c r="E24" s="137">
        <v>4.4223154367036033</v>
      </c>
    </row>
    <row r="25" spans="4:8" x14ac:dyDescent="0.3">
      <c r="D25" s="6" t="s">
        <v>149</v>
      </c>
      <c r="E25" s="137">
        <v>8.6087545262461038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53685-CF40-49A9-9C50-3132C294440E}">
  <sheetPr>
    <tabColor rgb="FFFF7575"/>
  </sheetPr>
  <dimension ref="A1"/>
  <sheetViews>
    <sheetView showGridLines="0"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09C5F-F2E7-41A6-BE77-5F5C4E5136DA}">
  <sheetPr>
    <tabColor rgb="FFFFC000"/>
  </sheetPr>
  <dimension ref="B1:V22"/>
  <sheetViews>
    <sheetView showGridLines="0" zoomScaleNormal="100" workbookViewId="0"/>
  </sheetViews>
  <sheetFormatPr defaultRowHeight="14.4" x14ac:dyDescent="0.3"/>
  <cols>
    <col min="1" max="1" width="6" customWidth="1"/>
    <col min="2" max="2" width="16.21875" customWidth="1"/>
    <col min="8" max="8" width="6.6640625" customWidth="1"/>
    <col min="9" max="9" width="7.77734375" customWidth="1"/>
  </cols>
  <sheetData>
    <row r="1" spans="2:22" ht="21.6" customHeight="1" thickBot="1" x14ac:dyDescent="0.35">
      <c r="B1" s="66" t="s">
        <v>517</v>
      </c>
      <c r="C1" s="66"/>
      <c r="D1" s="66"/>
      <c r="E1" s="66"/>
      <c r="F1" s="66"/>
      <c r="G1" s="66"/>
      <c r="H1" s="66"/>
      <c r="I1" s="66"/>
      <c r="J1" s="66"/>
      <c r="K1" s="66"/>
      <c r="L1" s="66"/>
      <c r="M1" s="66"/>
      <c r="N1" s="66"/>
      <c r="O1" s="66"/>
      <c r="P1" s="66"/>
      <c r="Q1" s="66"/>
      <c r="R1" s="66"/>
      <c r="S1" s="66"/>
      <c r="T1" s="66"/>
      <c r="U1" s="66"/>
      <c r="V1" s="66"/>
    </row>
    <row r="2" spans="2:22" ht="15" thickTop="1" x14ac:dyDescent="0.3"/>
    <row r="5" spans="2:22" x14ac:dyDescent="0.3">
      <c r="B5" s="145" t="s">
        <v>532</v>
      </c>
      <c r="C5" s="28" t="s">
        <v>518</v>
      </c>
      <c r="D5" s="28"/>
      <c r="E5" s="28"/>
      <c r="F5" s="28"/>
      <c r="G5" s="28"/>
      <c r="H5" s="28"/>
      <c r="I5" s="28"/>
      <c r="J5" s="28"/>
      <c r="K5" s="28"/>
      <c r="L5" s="28"/>
      <c r="M5" s="28"/>
      <c r="N5" s="28"/>
      <c r="O5" s="28"/>
      <c r="P5" s="28"/>
      <c r="Q5" s="28"/>
      <c r="R5" s="28"/>
      <c r="S5" s="28"/>
      <c r="T5" s="28"/>
      <c r="U5" s="28"/>
      <c r="V5" s="8"/>
    </row>
    <row r="6" spans="2:22" x14ac:dyDescent="0.3">
      <c r="B6" s="146" t="s">
        <v>530</v>
      </c>
      <c r="C6" s="148" t="s">
        <v>519</v>
      </c>
      <c r="D6" s="148"/>
      <c r="E6" s="148"/>
      <c r="F6" s="148"/>
      <c r="G6" s="148"/>
      <c r="H6" s="148"/>
      <c r="I6" s="148"/>
      <c r="J6" s="148"/>
      <c r="K6" s="28"/>
      <c r="L6" s="28"/>
      <c r="M6" s="28"/>
      <c r="N6" s="28"/>
      <c r="O6" s="28"/>
      <c r="P6" s="28"/>
      <c r="Q6" s="28"/>
      <c r="R6" s="28"/>
      <c r="S6" s="28"/>
      <c r="T6" s="28"/>
      <c r="U6" s="28"/>
      <c r="V6" s="8"/>
    </row>
    <row r="7" spans="2:22" x14ac:dyDescent="0.3">
      <c r="B7" s="147" t="s">
        <v>531</v>
      </c>
      <c r="C7" s="148" t="s">
        <v>520</v>
      </c>
      <c r="D7" s="148"/>
      <c r="E7" s="148"/>
      <c r="F7" s="148"/>
      <c r="G7" s="148"/>
      <c r="H7" s="148"/>
      <c r="I7" s="148"/>
      <c r="J7" s="148"/>
      <c r="K7" s="28"/>
      <c r="L7" s="28"/>
      <c r="M7" s="28"/>
      <c r="N7" s="28"/>
      <c r="O7" s="28"/>
      <c r="P7" s="28"/>
      <c r="Q7" s="28"/>
      <c r="R7" s="28"/>
      <c r="S7" s="28"/>
      <c r="T7" s="28"/>
      <c r="U7" s="28"/>
      <c r="V7" s="8"/>
    </row>
    <row r="10" spans="2:22" x14ac:dyDescent="0.3">
      <c r="B10" s="145" t="s">
        <v>533</v>
      </c>
      <c r="C10" s="28" t="s">
        <v>521</v>
      </c>
      <c r="D10" s="28"/>
      <c r="E10" s="28"/>
      <c r="F10" s="28"/>
      <c r="G10" s="28"/>
      <c r="H10" s="28"/>
      <c r="I10" s="28"/>
      <c r="J10" s="28"/>
      <c r="K10" s="28"/>
      <c r="L10" s="28"/>
      <c r="M10" s="28"/>
      <c r="N10" s="28"/>
      <c r="O10" s="28"/>
      <c r="P10" s="28"/>
      <c r="Q10" s="28"/>
      <c r="R10" s="28"/>
      <c r="S10" s="28"/>
      <c r="T10" s="28"/>
      <c r="U10" s="28"/>
      <c r="V10" s="8"/>
    </row>
    <row r="11" spans="2:22" x14ac:dyDescent="0.3">
      <c r="B11" s="146" t="s">
        <v>530</v>
      </c>
      <c r="C11" s="148" t="s">
        <v>522</v>
      </c>
      <c r="D11" s="148"/>
      <c r="E11" s="148"/>
      <c r="F11" s="148"/>
      <c r="G11" s="148"/>
      <c r="H11" s="148"/>
      <c r="I11" s="148"/>
      <c r="J11" s="148"/>
      <c r="K11" s="148"/>
      <c r="L11" s="148"/>
      <c r="M11" s="28"/>
      <c r="N11" s="28"/>
      <c r="O11" s="28"/>
      <c r="P11" s="28"/>
      <c r="Q11" s="28"/>
      <c r="R11" s="28"/>
      <c r="S11" s="28"/>
      <c r="T11" s="28"/>
      <c r="U11" s="28"/>
      <c r="V11" s="8"/>
    </row>
    <row r="12" spans="2:22" x14ac:dyDescent="0.3">
      <c r="B12" s="147" t="s">
        <v>531</v>
      </c>
      <c r="C12" s="148" t="s">
        <v>523</v>
      </c>
      <c r="D12" s="148"/>
      <c r="E12" s="148"/>
      <c r="F12" s="148"/>
      <c r="G12" s="148"/>
      <c r="H12" s="148"/>
      <c r="I12" s="148"/>
      <c r="J12" s="148"/>
      <c r="K12" s="148"/>
      <c r="L12" s="148"/>
      <c r="M12" s="28"/>
      <c r="N12" s="28"/>
      <c r="O12" s="28"/>
      <c r="P12" s="28"/>
      <c r="Q12" s="28"/>
      <c r="R12" s="28"/>
      <c r="S12" s="28"/>
      <c r="T12" s="28"/>
      <c r="U12" s="28"/>
      <c r="V12" s="8"/>
    </row>
    <row r="15" spans="2:22" x14ac:dyDescent="0.3">
      <c r="B15" s="145" t="s">
        <v>534</v>
      </c>
      <c r="C15" s="28" t="s">
        <v>524</v>
      </c>
      <c r="D15" s="28"/>
      <c r="E15" s="28"/>
      <c r="F15" s="28"/>
      <c r="G15" s="28"/>
      <c r="H15" s="28"/>
      <c r="I15" s="28"/>
      <c r="J15" s="28"/>
      <c r="K15" s="28"/>
      <c r="L15" s="28"/>
      <c r="M15" s="28"/>
      <c r="N15" s="28"/>
      <c r="O15" s="28"/>
      <c r="P15" s="28"/>
      <c r="Q15" s="28"/>
      <c r="R15" s="28"/>
      <c r="S15" s="28"/>
      <c r="T15" s="28"/>
      <c r="U15" s="28"/>
      <c r="V15" s="8"/>
    </row>
    <row r="16" spans="2:22" x14ac:dyDescent="0.3">
      <c r="B16" s="146" t="s">
        <v>530</v>
      </c>
      <c r="C16" s="148" t="s">
        <v>525</v>
      </c>
      <c r="D16" s="148"/>
      <c r="E16" s="148"/>
      <c r="F16" s="148"/>
      <c r="G16" s="148"/>
      <c r="H16" s="148"/>
      <c r="I16" s="148"/>
      <c r="J16" s="148"/>
      <c r="K16" s="28"/>
      <c r="L16" s="28"/>
      <c r="M16" s="28"/>
      <c r="N16" s="28"/>
      <c r="O16" s="28"/>
      <c r="P16" s="28"/>
      <c r="Q16" s="28"/>
      <c r="R16" s="28"/>
      <c r="S16" s="28"/>
      <c r="T16" s="28"/>
      <c r="U16" s="28"/>
      <c r="V16" s="8"/>
    </row>
    <row r="17" spans="2:22" x14ac:dyDescent="0.3">
      <c r="B17" s="147" t="s">
        <v>531</v>
      </c>
      <c r="C17" s="148" t="s">
        <v>526</v>
      </c>
      <c r="D17" s="148"/>
      <c r="E17" s="148"/>
      <c r="F17" s="148"/>
      <c r="G17" s="148"/>
      <c r="H17" s="148"/>
      <c r="I17" s="148"/>
      <c r="J17" s="148"/>
      <c r="K17" s="28"/>
      <c r="L17" s="28"/>
      <c r="M17" s="28"/>
      <c r="N17" s="28"/>
      <c r="O17" s="28"/>
      <c r="P17" s="28"/>
      <c r="Q17" s="28"/>
      <c r="R17" s="28"/>
      <c r="S17" s="28"/>
      <c r="T17" s="28"/>
      <c r="U17" s="28"/>
      <c r="V17" s="8"/>
    </row>
    <row r="20" spans="2:22" x14ac:dyDescent="0.3">
      <c r="B20" s="145" t="s">
        <v>535</v>
      </c>
      <c r="C20" s="28" t="s">
        <v>527</v>
      </c>
      <c r="D20" s="28"/>
      <c r="E20" s="28"/>
      <c r="F20" s="28"/>
      <c r="G20" s="28"/>
      <c r="H20" s="28"/>
      <c r="I20" s="28"/>
      <c r="J20" s="28"/>
      <c r="K20" s="28"/>
      <c r="L20" s="28"/>
      <c r="M20" s="28"/>
      <c r="N20" s="28"/>
      <c r="O20" s="28"/>
      <c r="P20" s="28"/>
      <c r="Q20" s="28"/>
      <c r="R20" s="28"/>
      <c r="S20" s="28"/>
      <c r="T20" s="28"/>
      <c r="U20" s="28"/>
      <c r="V20" s="8"/>
    </row>
    <row r="21" spans="2:22" x14ac:dyDescent="0.3">
      <c r="B21" s="146" t="s">
        <v>530</v>
      </c>
      <c r="C21" s="148" t="s">
        <v>528</v>
      </c>
      <c r="D21" s="148"/>
      <c r="E21" s="148"/>
      <c r="F21" s="148"/>
      <c r="G21" s="148"/>
      <c r="H21" s="148"/>
      <c r="I21" s="148"/>
      <c r="J21" s="148"/>
      <c r="K21" s="28"/>
      <c r="L21" s="28"/>
      <c r="M21" s="28"/>
      <c r="N21" s="28"/>
      <c r="O21" s="28"/>
      <c r="P21" s="28"/>
      <c r="Q21" s="28"/>
      <c r="R21" s="28"/>
      <c r="S21" s="28"/>
      <c r="T21" s="28"/>
      <c r="U21" s="28"/>
      <c r="V21" s="8"/>
    </row>
    <row r="22" spans="2:22" x14ac:dyDescent="0.3">
      <c r="B22" s="147" t="s">
        <v>531</v>
      </c>
      <c r="C22" s="148" t="s">
        <v>529</v>
      </c>
      <c r="D22" s="148"/>
      <c r="E22" s="148"/>
      <c r="F22" s="148"/>
      <c r="G22" s="148"/>
      <c r="H22" s="148"/>
      <c r="I22" s="148"/>
      <c r="J22" s="148"/>
      <c r="K22" s="28"/>
      <c r="L22" s="28"/>
      <c r="M22" s="28"/>
      <c r="N22" s="28"/>
      <c r="O22" s="28"/>
      <c r="P22" s="28"/>
      <c r="Q22" s="28"/>
      <c r="R22" s="28"/>
      <c r="S22" s="28"/>
      <c r="T22" s="28"/>
      <c r="U22" s="28"/>
      <c r="V22"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Info</vt:lpstr>
      <vt:lpstr>Uvod</vt:lpstr>
      <vt:lpstr>Zad.1</vt:lpstr>
      <vt:lpstr>Zad.2</vt:lpstr>
      <vt:lpstr>Zad.3</vt:lpstr>
      <vt:lpstr>Zad.4</vt:lpstr>
      <vt:lpstr>Zad.5</vt:lpstr>
      <vt:lpstr>Zad.6</vt:lpstr>
      <vt:lpstr>Dashboard_vodič</vt:lpstr>
      <vt:lpstr>Baza_podataka</vt:lpstr>
      <vt:lpstr>Izveštaj</vt:lpstr>
      <vt:lpstr>DASHBOARD</vt:lpstr>
      <vt:lpstr>Operativna_analiza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 Stankov</dc:creator>
  <cp:lastModifiedBy>Sanja Stankov</cp:lastModifiedBy>
  <dcterms:created xsi:type="dcterms:W3CDTF">2025-11-10T23:23:49Z</dcterms:created>
  <dcterms:modified xsi:type="dcterms:W3CDTF">2025-12-12T19:12:30Z</dcterms:modified>
</cp:coreProperties>
</file>